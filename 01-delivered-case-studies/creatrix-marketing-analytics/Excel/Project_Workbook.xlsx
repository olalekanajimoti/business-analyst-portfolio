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bjectives" sheetId="2" state="visible" r:id="rId4"/>
    <sheet name="Requirements" sheetId="3" state="visible" r:id="rId5"/>
    <sheet name="Functional" sheetId="4" state="visible" r:id="rId6"/>
    <sheet name="User Stories" sheetId="5" state="visible" r:id="rId7"/>
    <sheet name="Stakeholders" sheetId="6" state="visible" r:id="rId8"/>
    <sheet name="RAID" sheetId="7" state="visible" r:id="rId9"/>
    <sheet name="UAT" sheetId="8" state="visible" r:id="rId10"/>
    <sheet name="Traceability" sheetId="9" state="visible" r:id="rId11"/>
    <sheet name="Data Diction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<sst xmlns="http://schemas.openxmlformats.org/spreadsheetml/2006/main" count="262" uniqueCount="192">
  <si>
    <t xml:space="preserve">Creatrix Empire Marketing Operations and Performance Analysis</t>
  </si>
  <si>
    <t xml:space="preserve">Status</t>
  </si>
  <si>
    <t xml:space="preserve">Delivered</t>
  </si>
  <si>
    <t xml:space="preserve">Domain</t>
  </si>
  <si>
    <t xml:space="preserve">Digital marketing, media and entertainment</t>
  </si>
  <si>
    <t xml:space="preserve">Role</t>
  </si>
  <si>
    <t xml:space="preserve">Digital Marketing Analyst and Delivery Lead</t>
  </si>
  <si>
    <t xml:space="preserve">Business problem</t>
  </si>
  <si>
    <t xml:space="preserve">Client and internal-brand campaigns needed clearer specialist ownership, cleaner hand-offs and optimisation based on consistent evidence rather than reach alone.</t>
  </si>
  <si>
    <t xml:space="preserve">Measure</t>
  </si>
  <si>
    <t xml:space="preserve">Value</t>
  </si>
  <si>
    <t xml:space="preserve">Source</t>
  </si>
  <si>
    <t xml:space="preserve">Business requirements</t>
  </si>
  <si>
    <t xml:space="preserve">Requirements</t>
  </si>
  <si>
    <t xml:space="preserve">Must requirements</t>
  </si>
  <si>
    <t xml:space="preserve">Should requirements</t>
  </si>
  <si>
    <t xml:space="preserve">Functional requirements</t>
  </si>
  <si>
    <t xml:space="preserve">Functional</t>
  </si>
  <si>
    <t xml:space="preserve">Requirements with a test</t>
  </si>
  <si>
    <t xml:space="preserve">Traceability</t>
  </si>
  <si>
    <t xml:space="preserve">Tests with status "Passed"</t>
  </si>
  <si>
    <t xml:space="preserve">UAT</t>
  </si>
  <si>
    <t xml:space="preserve">High risks</t>
  </si>
  <si>
    <t xml:space="preserve">RAID</t>
  </si>
  <si>
    <t xml:space="preserve">Stakeholder groups</t>
  </si>
  <si>
    <t xml:space="preserve">Stakeholders</t>
  </si>
  <si>
    <t xml:space="preserve">Counts are formulas and update when rows are added. Status values are recorded on the UAT sheet.</t>
  </si>
  <si>
    <t xml:space="preserve">Objective ID</t>
  </si>
  <si>
    <t xml:space="preserve">Objective</t>
  </si>
  <si>
    <t xml:space="preserve">OBJ-01</t>
  </si>
  <si>
    <t xml:space="preserve">Anchor every campaign to an agreed objective</t>
  </si>
  <si>
    <t xml:space="preserve">OBJ-02</t>
  </si>
  <si>
    <t xml:space="preserve">Make specialist ownership and hand-offs visible</t>
  </si>
  <si>
    <t xml:space="preserve">OBJ-03</t>
  </si>
  <si>
    <t xml:space="preserve">Consolidate performance evidence</t>
  </si>
  <si>
    <t xml:space="preserve">OBJ-04</t>
  </si>
  <si>
    <t xml:space="preserve">Prioritise SEO and channel improvements from evidence</t>
  </si>
  <si>
    <t xml:space="preserve">ID</t>
  </si>
  <si>
    <t xml:space="preserve">Requirement</t>
  </si>
  <si>
    <t xml:space="preserve">Priority</t>
  </si>
  <si>
    <t xml:space="preserve">Acceptance criterion</t>
  </si>
  <si>
    <t xml:space="preserve">BR-01</t>
  </si>
  <si>
    <t xml:space="preserve">Every campaign has a clear objective, audience and KPI</t>
  </si>
  <si>
    <t xml:space="preserve">Must</t>
  </si>
  <si>
    <t xml:space="preserve">Approved brief records objective, audience and target KPI</t>
  </si>
  <si>
    <t xml:space="preserve">BR-02</t>
  </si>
  <si>
    <t xml:space="preserve">Specialist ownership and hand-offs are visible</t>
  </si>
  <si>
    <t xml:space="preserve">Each task shows owner, dependency and approval state</t>
  </si>
  <si>
    <t xml:space="preserve">BR-03</t>
  </si>
  <si>
    <t xml:space="preserve">Performance measures are consolidated in one report</t>
  </si>
  <si>
    <t xml:space="preserve">Reach, engagement, traffic and conversion reported with one definition set</t>
  </si>
  <si>
    <t xml:space="preserve">BR-04</t>
  </si>
  <si>
    <t xml:space="preserve">Insights inform the next campaign cycle</t>
  </si>
  <si>
    <t xml:space="preserve">Should</t>
  </si>
  <si>
    <t xml:space="preserve">Recommendations and resulting decisions are recorded</t>
  </si>
  <si>
    <t xml:space="preserve">Parent BR</t>
  </si>
  <si>
    <t xml:space="preserve">System behaviour</t>
  </si>
  <si>
    <t xml:space="preserve">Business rule or validation</t>
  </si>
  <si>
    <t xml:space="preserve">FR-01</t>
  </si>
  <si>
    <t xml:space="preserve">Brief template requires objective, audience, channel mix and KPI</t>
  </si>
  <si>
    <t xml:space="preserve">Production cannot start on an unapproved brief</t>
  </si>
  <si>
    <t xml:space="preserve">FR-02</t>
  </si>
  <si>
    <t xml:space="preserve">Task board records owner, due date, dependency and approval</t>
  </si>
  <si>
    <t xml:space="preserve">Assets move to publishing only after brand check</t>
  </si>
  <si>
    <t xml:space="preserve">FR-03</t>
  </si>
  <si>
    <t xml:space="preserve">Campaign report pulls channel metrics into one template</t>
  </si>
  <si>
    <t xml:space="preserve">Metric definitions follow the KPI dictionary</t>
  </si>
  <si>
    <t xml:space="preserve">FR-04</t>
  </si>
  <si>
    <t xml:space="preserve">Post-campaign review logs recommendations and decisions</t>
  </si>
  <si>
    <t xml:space="preserve">Each recommendation cites the metric that supports it</t>
  </si>
  <si>
    <t xml:space="preserve">As a</t>
  </si>
  <si>
    <t xml:space="preserve">I want</t>
  </si>
  <si>
    <t xml:space="preserve">So that</t>
  </si>
  <si>
    <t xml:space="preserve">Given</t>
  </si>
  <si>
    <t xml:space="preserve">When</t>
  </si>
  <si>
    <t xml:space="preserve">Then</t>
  </si>
  <si>
    <t xml:space="preserve">US-01</t>
  </si>
  <si>
    <t xml:space="preserve">client</t>
  </si>
  <si>
    <t xml:space="preserve">to approve the objective before assets are made</t>
  </si>
  <si>
    <t xml:space="preserve">the work targets the outcome I need</t>
  </si>
  <si>
    <t xml:space="preserve">a draft brief exists</t>
  </si>
  <si>
    <t xml:space="preserve">I approve it</t>
  </si>
  <si>
    <t xml:space="preserve">production tasks are released to the team</t>
  </si>
  <si>
    <t xml:space="preserve">US-02</t>
  </si>
  <si>
    <t xml:space="preserve">account lead</t>
  </si>
  <si>
    <t xml:space="preserve">one report with consistent metric definitions</t>
  </si>
  <si>
    <t xml:space="preserve">I can compare campaigns fairly</t>
  </si>
  <si>
    <t xml:space="preserve">a campaign has ended</t>
  </si>
  <si>
    <t xml:space="preserve">I open the report</t>
  </si>
  <si>
    <t xml:space="preserve">reach, engagement, traffic and conversion show against target</t>
  </si>
  <si>
    <t xml:space="preserve">Stakeholder</t>
  </si>
  <si>
    <t xml:space="preserve">Influence</t>
  </si>
  <si>
    <t xml:space="preserve">Interest</t>
  </si>
  <si>
    <t xml:space="preserve">Primary interest</t>
  </si>
  <si>
    <t xml:space="preserve">Information need</t>
  </si>
  <si>
    <t xml:space="preserve">Method</t>
  </si>
  <si>
    <t xml:space="preserve">Cadence</t>
  </si>
  <si>
    <t xml:space="preserve">Approach</t>
  </si>
  <si>
    <t xml:space="preserve">Clients and business owners</t>
  </si>
  <si>
    <t xml:space="preserve">High</t>
  </si>
  <si>
    <t xml:space="preserve">Outcome and value</t>
  </si>
  <si>
    <t xml:space="preserve">Results against objective</t>
  </si>
  <si>
    <t xml:space="preserve">Performance report and review call</t>
  </si>
  <si>
    <t xml:space="preserve">End of each campaign</t>
  </si>
  <si>
    <t xml:space="preserve">Manage closely</t>
  </si>
  <si>
    <t xml:space="preserve">Leadership</t>
  </si>
  <si>
    <t xml:space="preserve">Performance and resource decisions</t>
  </si>
  <si>
    <t xml:space="preserve">Portfolio results, capacity</t>
  </si>
  <si>
    <t xml:space="preserve">Management summary</t>
  </si>
  <si>
    <t xml:space="preserve">Monthly</t>
  </si>
  <si>
    <t xml:space="preserve">Copywriters</t>
  </si>
  <si>
    <t xml:space="preserve">Low</t>
  </si>
  <si>
    <t xml:space="preserve">Medium</t>
  </si>
  <si>
    <t xml:space="preserve">Message and audience</t>
  </si>
  <si>
    <t xml:space="preserve">Brief, deadlines</t>
  </si>
  <si>
    <t xml:space="preserve">Brief handover</t>
  </si>
  <si>
    <t xml:space="preserve">Per campaign</t>
  </si>
  <si>
    <t xml:space="preserve">Monitor</t>
  </si>
  <si>
    <t xml:space="preserve">Design and video teams</t>
  </si>
  <si>
    <t xml:space="preserve">Assets and deadlines</t>
  </si>
  <si>
    <t xml:space="preserve">Brief, dependencies</t>
  </si>
  <si>
    <t xml:space="preserve">Task board and stand-up</t>
  </si>
  <si>
    <t xml:space="preserve">Daily during production</t>
  </si>
  <si>
    <t xml:space="preserve">Social-media managers</t>
  </si>
  <si>
    <t xml:space="preserve">Channel execution</t>
  </si>
  <si>
    <t xml:space="preserve">Publishing schedule, KPIs</t>
  </si>
  <si>
    <t xml:space="preserve">Channel plan</t>
  </si>
  <si>
    <t xml:space="preserve">Weekly</t>
  </si>
  <si>
    <t xml:space="preserve">Keep informed</t>
  </si>
  <si>
    <t xml:space="preserve">Risk</t>
  </si>
  <si>
    <t xml:space="preserve">Severity</t>
  </si>
  <si>
    <t xml:space="preserve">Response</t>
  </si>
  <si>
    <t xml:space="preserve">Owner</t>
  </si>
  <si>
    <t xml:space="preserve">R-01</t>
  </si>
  <si>
    <t xml:space="preserve">Unclear brief causes rework</t>
  </si>
  <si>
    <t xml:space="preserve">Brief approval gate</t>
  </si>
  <si>
    <t xml:space="preserve">Delivery lead</t>
  </si>
  <si>
    <t xml:space="preserve">R-02</t>
  </si>
  <si>
    <t xml:space="preserve">Metrics use inconsistent definitions</t>
  </si>
  <si>
    <t xml:space="preserve">KPI dictionary</t>
  </si>
  <si>
    <t xml:space="preserve">Analyst</t>
  </si>
  <si>
    <t xml:space="preserve">R-03</t>
  </si>
  <si>
    <t xml:space="preserve">Late assets delay campaign</t>
  </si>
  <si>
    <t xml:space="preserve">Dependency tracking on task board</t>
  </si>
  <si>
    <t xml:space="preserve">R-04</t>
  </si>
  <si>
    <t xml:space="preserve">Optimisation based on reach alone</t>
  </si>
  <si>
    <t xml:space="preserve">Balanced KPI review</t>
  </si>
  <si>
    <t xml:space="preserve">Test ID</t>
  </si>
  <si>
    <t xml:space="preserve">UAT-01</t>
  </si>
  <si>
    <t xml:space="preserve">a brief without a KPI</t>
  </si>
  <si>
    <t xml:space="preserve">the lead tries to release production tasks</t>
  </si>
  <si>
    <t xml:space="preserve">release is blocked until the KPI is added</t>
  </si>
  <si>
    <t xml:space="preserve">Passed</t>
  </si>
  <si>
    <t xml:space="preserve">UAT-02</t>
  </si>
  <si>
    <t xml:space="preserve">an asset awaiting brand check</t>
  </si>
  <si>
    <t xml:space="preserve">the social manager opens the publishing queue</t>
  </si>
  <si>
    <t xml:space="preserve">the asset is not available to publish</t>
  </si>
  <si>
    <t xml:space="preserve">UAT-03</t>
  </si>
  <si>
    <t xml:space="preserve">a finished campaign</t>
  </si>
  <si>
    <t xml:space="preserve">the report is generated</t>
  </si>
  <si>
    <t xml:space="preserve">all four measures appear with dictionary definitions</t>
  </si>
  <si>
    <t xml:space="preserve">UAT-04</t>
  </si>
  <si>
    <t xml:space="preserve">a review meeting has ended</t>
  </si>
  <si>
    <t xml:space="preserve">the lead records outcomes</t>
  </si>
  <si>
    <t xml:space="preserve">each recommendation links to a metric and a decision</t>
  </si>
  <si>
    <t xml:space="preserve">User stories</t>
  </si>
  <si>
    <t xml:space="preserve">Test IDs</t>
  </si>
  <si>
    <t xml:space="preserve">Number of tests</t>
  </si>
  <si>
    <t xml:space="preserve">None</t>
  </si>
  <si>
    <t xml:space="preserve">Field</t>
  </si>
  <si>
    <t xml:space="preserve">Type</t>
  </si>
  <si>
    <t xml:space="preserve">Definition</t>
  </si>
  <si>
    <t xml:space="preserve">Allowed values</t>
  </si>
  <si>
    <t xml:space="preserve">campaign_id</t>
  </si>
  <si>
    <t xml:space="preserve">Text</t>
  </si>
  <si>
    <t xml:space="preserve">Unique campaign</t>
  </si>
  <si>
    <t xml:space="preserve">CMP-0001 format</t>
  </si>
  <si>
    <t xml:space="preserve">channel</t>
  </si>
  <si>
    <t xml:space="preserve">Category</t>
  </si>
  <si>
    <t xml:space="preserve">Delivery channel</t>
  </si>
  <si>
    <t xml:space="preserve">Instagram, TikTok, X, YouTube, Website</t>
  </si>
  <si>
    <t xml:space="preserve">reach</t>
  </si>
  <si>
    <t xml:space="preserve">Integer</t>
  </si>
  <si>
    <t xml:space="preserve">Unique accounts reached</t>
  </si>
  <si>
    <t xml:space="preserve">0 or more</t>
  </si>
  <si>
    <t xml:space="preserve">engagement</t>
  </si>
  <si>
    <t xml:space="preserve">Recorded interactions</t>
  </si>
  <si>
    <t xml:space="preserve">website_sessions</t>
  </si>
  <si>
    <t xml:space="preserve">Attributed visits</t>
  </si>
  <si>
    <t xml:space="preserve">conversion</t>
  </si>
  <si>
    <t xml:space="preserve">Defined campaign outcome count</t>
  </si>
  <si>
    <t xml:space="preserve">Defined per brief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</si>
</sst>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253D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25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11</v>
      </c>
    </row>
    <row r="10" customFormat="false" ht="15" hidden="false" customHeight="false" outlineLevel="0" collapsed="false">
      <c r="A10" s="5" t="s">
        <v>12</v>
      </c>
      <c r="B10" s="5" t="n">
        <f aca="false">COUNTA(Requirements!A2:A200)</f>
        <v>4</v>
      </c>
      <c r="C10" s="5" t="s">
        <v>13</v>
      </c>
    </row>
    <row r="11" customFormat="false" ht="15" hidden="false" customHeight="false" outlineLevel="0" collapsed="false">
      <c r="A11" s="5" t="s">
        <v>14</v>
      </c>
      <c r="B11" s="5" t="n">
        <f aca="false">COUNTIF(Requirements!C2:C200,"Must")</f>
        <v>3</v>
      </c>
      <c r="C11" s="5" t="s">
        <v>13</v>
      </c>
    </row>
    <row r="12" customFormat="false" ht="15" hidden="false" customHeight="false" outlineLevel="0" collapsed="false">
      <c r="A12" s="5" t="s">
        <v>15</v>
      </c>
      <c r="B12" s="5" t="n">
        <f aca="false">COUNTIF(Requirements!C2:C200,"Should")</f>
        <v>1</v>
      </c>
      <c r="C12" s="5" t="s">
        <v>13</v>
      </c>
    </row>
    <row r="13" customFormat="false" ht="15" hidden="false" customHeight="false" outlineLevel="0" collapsed="false">
      <c r="A13" s="5" t="s">
        <v>16</v>
      </c>
      <c r="B13" s="5" t="n">
        <f aca="false">COUNTA(Functional!A2:A200)</f>
        <v>4</v>
      </c>
      <c r="C13" s="5" t="s">
        <v>17</v>
      </c>
    </row>
    <row r="14" customFormat="false" ht="15" hidden="false" customHeight="false" outlineLevel="0" collapsed="false">
      <c r="A14" s="5" t="s">
        <v>18</v>
      </c>
      <c r="B14" s="5" t="n">
        <f aca="false">COUNTIF(Traceability!F2:F200,"&gt;0")</f>
        <v>4</v>
      </c>
      <c r="C14" s="5" t="s">
        <v>19</v>
      </c>
    </row>
    <row r="15" customFormat="false" ht="15" hidden="false" customHeight="false" outlineLevel="0" collapsed="false">
      <c r="A15" s="5" t="s">
        <v>20</v>
      </c>
      <c r="B15" s="5" t="n">
        <f aca="false">COUNTIF(UAT!F2:F200,"Passed")</f>
        <v>4</v>
      </c>
      <c r="C15" s="5" t="s">
        <v>21</v>
      </c>
    </row>
    <row r="16" customFormat="false" ht="15" hidden="false" customHeight="false" outlineLevel="0" collapsed="false">
      <c r="A16" s="5" t="s">
        <v>22</v>
      </c>
      <c r="B16" s="5" t="n">
        <f aca="false">COUNTIF(RAID!C2:C200,"High")</f>
        <v>1</v>
      </c>
      <c r="C16" s="5" t="s">
        <v>23</v>
      </c>
    </row>
    <row r="17" customFormat="false" ht="15" hidden="false" customHeight="false" outlineLevel="0" collapsed="false">
      <c r="A17" s="5" t="s">
        <v>24</v>
      </c>
      <c r="B17" s="5" t="n">
        <f aca="false">COUNTA(Stakeholders!A2:A200)</f>
        <v>5</v>
      </c>
      <c r="C17" s="5" t="s">
        <v>25</v>
      </c>
    </row>
    <row r="19" customFormat="false" ht="15" hidden="false" customHeight="false" outlineLevel="0" collapsed="false">
      <c r="A19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27</v>
      </c>
      <c r="B1" s="7" t="s">
        <v>28</v>
      </c>
    </row>
    <row r="2" customFormat="false" ht="15" hidden="false" customHeight="false" outlineLevel="0" collapsed="false">
      <c r="A2" s="8" t="s">
        <v>29</v>
      </c>
      <c r="B2" s="8" t="s">
        <v>30</v>
      </c>
    </row>
    <row r="3" customFormat="false" ht="15" hidden="false" customHeight="false" outlineLevel="0" collapsed="false">
      <c r="A3" s="8" t="s">
        <v>31</v>
      </c>
      <c r="B3" s="8" t="s">
        <v>32</v>
      </c>
    </row>
    <row r="4" customFormat="false" ht="15" hidden="false" customHeight="false" outlineLevel="0" collapsed="false">
      <c r="A4" s="8" t="s">
        <v>33</v>
      </c>
      <c r="B4" s="8" t="s">
        <v>34</v>
      </c>
    </row>
    <row r="5" customFormat="false" ht="15" hidden="false" customHeight="false" outlineLevel="0" collapsed="false">
      <c r="A5" s="8" t="s">
        <v>35</v>
      </c>
      <c r="B5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37</v>
      </c>
      <c r="B1" s="7" t="s">
        <v>38</v>
      </c>
      <c r="C1" s="7" t="s">
        <v>39</v>
      </c>
      <c r="D1" s="7" t="s">
        <v>27</v>
      </c>
      <c r="E1" s="7" t="s">
        <v>28</v>
      </c>
      <c r="F1" s="7" t="s">
        <v>40</v>
      </c>
    </row>
    <row r="2" customFormat="false" ht="1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29</v>
      </c>
      <c r="E2" s="8" t="str">
        <f aca="false">IFERROR(INDEX(Objectives!$B:$B,MATCH(D2,Objectives!$A:$A,0)),"Check objective ID")</f>
        <v>Anchor every campaign to an agreed objective</v>
      </c>
      <c r="F2" s="8" t="s">
        <v>44</v>
      </c>
    </row>
    <row r="3" customFormat="false" ht="15" hidden="false" customHeight="false" outlineLevel="0" collapsed="false">
      <c r="A3" s="8" t="s">
        <v>45</v>
      </c>
      <c r="B3" s="8" t="s">
        <v>46</v>
      </c>
      <c r="C3" s="8" t="s">
        <v>43</v>
      </c>
      <c r="D3" s="8" t="s">
        <v>31</v>
      </c>
      <c r="E3" s="8" t="str">
        <f aca="false">IFERROR(INDEX(Objectives!$B:$B,MATCH(D3,Objectives!$A:$A,0)),"Check objective ID")</f>
        <v>Make specialist ownership and hand-offs visible</v>
      </c>
      <c r="F3" s="8" t="s">
        <v>47</v>
      </c>
    </row>
    <row r="4" customFormat="false" ht="23.85" hidden="false" customHeight="false" outlineLevel="0" collapsed="false">
      <c r="A4" s="8" t="s">
        <v>48</v>
      </c>
      <c r="B4" s="8" t="s">
        <v>49</v>
      </c>
      <c r="C4" s="8" t="s">
        <v>43</v>
      </c>
      <c r="D4" s="8" t="s">
        <v>33</v>
      </c>
      <c r="E4" s="8" t="str">
        <f aca="false">IFERROR(INDEX(Objectives!$B:$B,MATCH(D4,Objectives!$A:$A,0)),"Check objective ID")</f>
        <v>Consolidate performance evidence</v>
      </c>
      <c r="F4" s="8" t="s">
        <v>50</v>
      </c>
    </row>
    <row r="5" customFormat="false" ht="23.85" hidden="false" customHeight="false" outlineLevel="0" collapsed="false">
      <c r="A5" s="8" t="s">
        <v>51</v>
      </c>
      <c r="B5" s="8" t="s">
        <v>52</v>
      </c>
      <c r="C5" s="8" t="s">
        <v>53</v>
      </c>
      <c r="D5" s="8" t="s">
        <v>35</v>
      </c>
      <c r="E5" s="8" t="str">
        <f aca="false">IFERROR(INDEX(Objectives!$B:$B,MATCH(D5,Objectives!$A:$A,0)),"Check objective ID")</f>
        <v>Prioritise SEO and channel improvements from evidence</v>
      </c>
      <c r="F5" s="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7" t="s">
        <v>37</v>
      </c>
      <c r="B1" s="7" t="s">
        <v>55</v>
      </c>
      <c r="C1" s="7" t="s">
        <v>56</v>
      </c>
      <c r="D1" s="7" t="s">
        <v>57</v>
      </c>
    </row>
    <row r="2" customFormat="false" ht="15" hidden="false" customHeight="false" outlineLevel="0" collapsed="false">
      <c r="A2" s="8" t="s">
        <v>58</v>
      </c>
      <c r="B2" s="8" t="s">
        <v>41</v>
      </c>
      <c r="C2" s="8" t="s">
        <v>59</v>
      </c>
      <c r="D2" s="8" t="s">
        <v>60</v>
      </c>
    </row>
    <row r="3" customFormat="false" ht="15" hidden="false" customHeight="false" outlineLevel="0" collapsed="false">
      <c r="A3" s="8" t="s">
        <v>61</v>
      </c>
      <c r="B3" s="8" t="s">
        <v>45</v>
      </c>
      <c r="C3" s="8" t="s">
        <v>62</v>
      </c>
      <c r="D3" s="8" t="s">
        <v>63</v>
      </c>
    </row>
    <row r="4" customFormat="false" ht="15" hidden="false" customHeight="false" outlineLevel="0" collapsed="false">
      <c r="A4" s="8" t="s">
        <v>64</v>
      </c>
      <c r="B4" s="8" t="s">
        <v>48</v>
      </c>
      <c r="C4" s="8" t="s">
        <v>65</v>
      </c>
      <c r="D4" s="8" t="s">
        <v>66</v>
      </c>
    </row>
    <row r="5" customFormat="false" ht="15" hidden="false" customHeight="false" outlineLevel="0" collapsed="false">
      <c r="A5" s="8" t="s">
        <v>67</v>
      </c>
      <c r="B5" s="8" t="s">
        <v>51</v>
      </c>
      <c r="C5" s="8" t="s">
        <v>68</v>
      </c>
      <c r="D5" s="8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7" t="s">
        <v>37</v>
      </c>
      <c r="B1" s="7" t="s">
        <v>55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</row>
    <row r="2" customFormat="false" ht="23.85" hidden="false" customHeight="false" outlineLevel="0" collapsed="false">
      <c r="A2" s="8" t="s">
        <v>76</v>
      </c>
      <c r="B2" s="8" t="s">
        <v>41</v>
      </c>
      <c r="C2" s="8" t="s">
        <v>77</v>
      </c>
      <c r="D2" s="8" t="s">
        <v>78</v>
      </c>
      <c r="E2" s="8" t="s">
        <v>79</v>
      </c>
      <c r="F2" s="8" t="s">
        <v>80</v>
      </c>
      <c r="G2" s="8" t="s">
        <v>81</v>
      </c>
      <c r="H2" s="8" t="s">
        <v>82</v>
      </c>
    </row>
    <row r="3" customFormat="false" ht="23.85" hidden="false" customHeight="false" outlineLevel="0" collapsed="false">
      <c r="A3" s="8" t="s">
        <v>83</v>
      </c>
      <c r="B3" s="8" t="s">
        <v>48</v>
      </c>
      <c r="C3" s="8" t="s">
        <v>84</v>
      </c>
      <c r="D3" s="8" t="s">
        <v>85</v>
      </c>
      <c r="E3" s="8" t="s">
        <v>86</v>
      </c>
      <c r="F3" s="8" t="s">
        <v>87</v>
      </c>
      <c r="G3" s="8" t="s">
        <v>88</v>
      </c>
      <c r="H3" s="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32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7" t="s">
        <v>90</v>
      </c>
      <c r="B1" s="7" t="s">
        <v>91</v>
      </c>
      <c r="C1" s="7" t="s">
        <v>92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</row>
    <row r="2" customFormat="false" ht="15" hidden="false" customHeight="false" outlineLevel="0" collapsed="false">
      <c r="A2" s="8" t="s">
        <v>98</v>
      </c>
      <c r="B2" s="8" t="s">
        <v>99</v>
      </c>
      <c r="C2" s="8" t="s">
        <v>99</v>
      </c>
      <c r="D2" s="8" t="s">
        <v>100</v>
      </c>
      <c r="E2" s="8" t="s">
        <v>101</v>
      </c>
      <c r="F2" s="8" t="s">
        <v>102</v>
      </c>
      <c r="G2" s="8" t="s">
        <v>103</v>
      </c>
      <c r="H2" s="8" t="s">
        <v>104</v>
      </c>
    </row>
    <row r="3" customFormat="false" ht="15" hidden="false" customHeight="false" outlineLevel="0" collapsed="false">
      <c r="A3" s="8" t="s">
        <v>105</v>
      </c>
      <c r="B3" s="8" t="s">
        <v>99</v>
      </c>
      <c r="C3" s="8" t="s">
        <v>99</v>
      </c>
      <c r="D3" s="8" t="s">
        <v>106</v>
      </c>
      <c r="E3" s="8" t="s">
        <v>107</v>
      </c>
      <c r="F3" s="8" t="s">
        <v>108</v>
      </c>
      <c r="G3" s="8" t="s">
        <v>109</v>
      </c>
      <c r="H3" s="8" t="s">
        <v>104</v>
      </c>
    </row>
    <row r="4" customFormat="false" ht="15" hidden="false" customHeight="false" outlineLevel="0" collapsed="false">
      <c r="A4" s="8" t="s">
        <v>110</v>
      </c>
      <c r="B4" s="8" t="s">
        <v>111</v>
      </c>
      <c r="C4" s="8" t="s">
        <v>112</v>
      </c>
      <c r="D4" s="8" t="s">
        <v>113</v>
      </c>
      <c r="E4" s="8" t="s">
        <v>114</v>
      </c>
      <c r="F4" s="8" t="s">
        <v>115</v>
      </c>
      <c r="G4" s="8" t="s">
        <v>116</v>
      </c>
      <c r="H4" s="8" t="s">
        <v>117</v>
      </c>
    </row>
    <row r="5" customFormat="false" ht="15" hidden="false" customHeight="false" outlineLevel="0" collapsed="false">
      <c r="A5" s="8" t="s">
        <v>118</v>
      </c>
      <c r="B5" s="8" t="s">
        <v>111</v>
      </c>
      <c r="C5" s="8" t="s">
        <v>112</v>
      </c>
      <c r="D5" s="8" t="s">
        <v>119</v>
      </c>
      <c r="E5" s="8" t="s">
        <v>120</v>
      </c>
      <c r="F5" s="8" t="s">
        <v>121</v>
      </c>
      <c r="G5" s="8" t="s">
        <v>122</v>
      </c>
      <c r="H5" s="8" t="s">
        <v>117</v>
      </c>
    </row>
    <row r="6" customFormat="false" ht="15" hidden="false" customHeight="false" outlineLevel="0" collapsed="false">
      <c r="A6" s="8" t="s">
        <v>123</v>
      </c>
      <c r="B6" s="8" t="s">
        <v>112</v>
      </c>
      <c r="C6" s="8" t="s">
        <v>99</v>
      </c>
      <c r="D6" s="8" t="s">
        <v>124</v>
      </c>
      <c r="E6" s="8" t="s">
        <v>125</v>
      </c>
      <c r="F6" s="8" t="s">
        <v>126</v>
      </c>
      <c r="G6" s="8" t="s">
        <v>127</v>
      </c>
      <c r="H6" s="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7" t="s">
        <v>37</v>
      </c>
      <c r="B1" s="7" t="s">
        <v>129</v>
      </c>
      <c r="C1" s="7" t="s">
        <v>130</v>
      </c>
      <c r="D1" s="7" t="s">
        <v>131</v>
      </c>
      <c r="E1" s="7" t="s">
        <v>132</v>
      </c>
    </row>
    <row r="2" customFormat="false" ht="15" hidden="false" customHeight="false" outlineLevel="0" collapsed="false">
      <c r="A2" s="8" t="s">
        <v>133</v>
      </c>
      <c r="B2" s="8" t="s">
        <v>134</v>
      </c>
      <c r="C2" s="8" t="s">
        <v>99</v>
      </c>
      <c r="D2" s="8" t="s">
        <v>135</v>
      </c>
      <c r="E2" s="8" t="s">
        <v>136</v>
      </c>
    </row>
    <row r="3" customFormat="false" ht="15" hidden="false" customHeight="false" outlineLevel="0" collapsed="false">
      <c r="A3" s="8" t="s">
        <v>137</v>
      </c>
      <c r="B3" s="8" t="s">
        <v>138</v>
      </c>
      <c r="C3" s="8" t="s">
        <v>112</v>
      </c>
      <c r="D3" s="8" t="s">
        <v>139</v>
      </c>
      <c r="E3" s="8" t="s">
        <v>140</v>
      </c>
    </row>
    <row r="4" customFormat="false" ht="15" hidden="false" customHeight="false" outlineLevel="0" collapsed="false">
      <c r="A4" s="8" t="s">
        <v>141</v>
      </c>
      <c r="B4" s="8" t="s">
        <v>142</v>
      </c>
      <c r="C4" s="8" t="s">
        <v>112</v>
      </c>
      <c r="D4" s="8" t="s">
        <v>143</v>
      </c>
      <c r="E4" s="8" t="s">
        <v>136</v>
      </c>
    </row>
    <row r="5" customFormat="false" ht="15" hidden="false" customHeight="false" outlineLevel="0" collapsed="false">
      <c r="A5" s="8" t="s">
        <v>144</v>
      </c>
      <c r="B5" s="8" t="s">
        <v>145</v>
      </c>
      <c r="C5" s="8" t="s">
        <v>112</v>
      </c>
      <c r="D5" s="8" t="s">
        <v>146</v>
      </c>
      <c r="E5" s="8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26"/>
  </cols>
  <sheetData>
    <row r="1" customFormat="false" ht="26.85" hidden="false" customHeight="false" outlineLevel="0" collapsed="false">
      <c r="A1" s="7" t="s">
        <v>147</v>
      </c>
      <c r="B1" s="7" t="s">
        <v>38</v>
      </c>
      <c r="C1" s="7" t="s">
        <v>73</v>
      </c>
      <c r="D1" s="7" t="s">
        <v>74</v>
      </c>
      <c r="E1" s="7" t="s">
        <v>75</v>
      </c>
      <c r="F1" s="7" t="s">
        <v>1</v>
      </c>
    </row>
    <row r="2" customFormat="false" ht="15" hidden="false" customHeight="false" outlineLevel="0" collapsed="false">
      <c r="A2" s="8" t="s">
        <v>148</v>
      </c>
      <c r="B2" s="8" t="s">
        <v>41</v>
      </c>
      <c r="C2" s="8" t="s">
        <v>149</v>
      </c>
      <c r="D2" s="8" t="s">
        <v>150</v>
      </c>
      <c r="E2" s="8" t="s">
        <v>151</v>
      </c>
      <c r="F2" s="8" t="s">
        <v>152</v>
      </c>
    </row>
    <row r="3" customFormat="false" ht="23.85" hidden="false" customHeight="false" outlineLevel="0" collapsed="false">
      <c r="A3" s="8" t="s">
        <v>153</v>
      </c>
      <c r="B3" s="8" t="s">
        <v>45</v>
      </c>
      <c r="C3" s="8" t="s">
        <v>154</v>
      </c>
      <c r="D3" s="8" t="s">
        <v>155</v>
      </c>
      <c r="E3" s="8" t="s">
        <v>156</v>
      </c>
      <c r="F3" s="8" t="s">
        <v>152</v>
      </c>
    </row>
    <row r="4" customFormat="false" ht="15" hidden="false" customHeight="false" outlineLevel="0" collapsed="false">
      <c r="A4" s="8" t="s">
        <v>157</v>
      </c>
      <c r="B4" s="8" t="s">
        <v>48</v>
      </c>
      <c r="C4" s="8" t="s">
        <v>158</v>
      </c>
      <c r="D4" s="8" t="s">
        <v>159</v>
      </c>
      <c r="E4" s="8" t="s">
        <v>160</v>
      </c>
      <c r="F4" s="8" t="s">
        <v>152</v>
      </c>
    </row>
    <row r="5" customFormat="false" ht="15" hidden="false" customHeight="false" outlineLevel="0" collapsed="false">
      <c r="A5" s="8" t="s">
        <v>161</v>
      </c>
      <c r="B5" s="8" t="s">
        <v>51</v>
      </c>
      <c r="C5" s="8" t="s">
        <v>162</v>
      </c>
      <c r="D5" s="8" t="s">
        <v>163</v>
      </c>
      <c r="E5" s="8" t="s">
        <v>164</v>
      </c>
      <c r="F5" s="8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7" t="s">
        <v>38</v>
      </c>
      <c r="B1" s="7" t="s">
        <v>27</v>
      </c>
      <c r="C1" s="7" t="s">
        <v>16</v>
      </c>
      <c r="D1" s="7" t="s">
        <v>165</v>
      </c>
      <c r="E1" s="7" t="s">
        <v>166</v>
      </c>
      <c r="F1" s="7" t="s">
        <v>167</v>
      </c>
    </row>
    <row r="2" customFormat="false" ht="15" hidden="false" customHeight="false" outlineLevel="0" collapsed="false">
      <c r="A2" s="8" t="s">
        <v>41</v>
      </c>
      <c r="B2" s="8" t="str">
        <f aca="false">IFERROR(INDEX(Requirements!$D:$D,MATCH(A2,Requirements!$A:$A,0)),"")</f>
        <v>OBJ-01</v>
      </c>
      <c r="C2" s="8" t="s">
        <v>58</v>
      </c>
      <c r="D2" s="8" t="s">
        <v>76</v>
      </c>
      <c r="E2" s="8" t="s">
        <v>148</v>
      </c>
      <c r="F2" s="8" t="n">
        <f aca="false">COUNTIF(UAT!$B:$B,A2)</f>
        <v>1</v>
      </c>
    </row>
    <row r="3" customFormat="false" ht="15" hidden="false" customHeight="false" outlineLevel="0" collapsed="false">
      <c r="A3" s="8" t="s">
        <v>45</v>
      </c>
      <c r="B3" s="8" t="str">
        <f aca="false">IFERROR(INDEX(Requirements!$D:$D,MATCH(A3,Requirements!$A:$A,0)),"")</f>
        <v>OBJ-02</v>
      </c>
      <c r="C3" s="8" t="s">
        <v>61</v>
      </c>
      <c r="D3" s="8" t="s">
        <v>168</v>
      </c>
      <c r="E3" s="8" t="s">
        <v>153</v>
      </c>
      <c r="F3" s="8" t="n">
        <f aca="false">COUNTIF(UAT!$B:$B,A3)</f>
        <v>1</v>
      </c>
    </row>
    <row r="4" customFormat="false" ht="15" hidden="false" customHeight="false" outlineLevel="0" collapsed="false">
      <c r="A4" s="8" t="s">
        <v>48</v>
      </c>
      <c r="B4" s="8" t="str">
        <f aca="false">IFERROR(INDEX(Requirements!$D:$D,MATCH(A4,Requirements!$A:$A,0)),"")</f>
        <v>OBJ-03</v>
      </c>
      <c r="C4" s="8" t="s">
        <v>64</v>
      </c>
      <c r="D4" s="8" t="s">
        <v>83</v>
      </c>
      <c r="E4" s="8" t="s">
        <v>157</v>
      </c>
      <c r="F4" s="8" t="n">
        <f aca="false">COUNTIF(UAT!$B:$B,A4)</f>
        <v>1</v>
      </c>
    </row>
    <row r="5" customFormat="false" ht="15" hidden="false" customHeight="false" outlineLevel="0" collapsed="false">
      <c r="A5" s="8" t="s">
        <v>51</v>
      </c>
      <c r="B5" s="8" t="str">
        <f aca="false">IFERROR(INDEX(Requirements!$D:$D,MATCH(A5,Requirements!$A:$A,0)),"")</f>
        <v>OBJ-04</v>
      </c>
      <c r="C5" s="8" t="s">
        <v>67</v>
      </c>
      <c r="D5" s="8" t="s">
        <v>168</v>
      </c>
      <c r="E5" s="8" t="s">
        <v>161</v>
      </c>
      <c r="F5" s="8" t="n">
        <f aca="false">COUNTIF(UAT!$B:$B,A5)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169</v>
      </c>
      <c r="B1" s="7" t="s">
        <v>170</v>
      </c>
      <c r="C1" s="7" t="s">
        <v>171</v>
      </c>
      <c r="D1" s="7" t="s">
        <v>172</v>
      </c>
    </row>
    <row r="2" customFormat="false" ht="15" hidden="false" customHeight="false" outlineLevel="0" collapsed="false">
      <c r="A2" s="8" t="s">
        <v>173</v>
      </c>
      <c r="B2" s="8" t="s">
        <v>174</v>
      </c>
      <c r="C2" s="8" t="s">
        <v>175</v>
      </c>
      <c r="D2" s="8" t="s">
        <v>176</v>
      </c>
    </row>
    <row r="3" customFormat="false" ht="15" hidden="false" customHeight="false" outlineLevel="0" collapsed="false">
      <c r="A3" s="8" t="s">
        <v>177</v>
      </c>
      <c r="B3" s="8" t="s">
        <v>178</v>
      </c>
      <c r="C3" s="8" t="s">
        <v>179</v>
      </c>
      <c r="D3" s="8" t="s">
        <v>180</v>
      </c>
    </row>
    <row r="4" customFormat="false" ht="15" hidden="false" customHeight="false" outlineLevel="0" collapsed="false">
      <c r="A4" s="8" t="s">
        <v>181</v>
      </c>
      <c r="B4" s="8" t="s">
        <v>182</v>
      </c>
      <c r="C4" s="8" t="s">
        <v>183</v>
      </c>
      <c r="D4" s="8" t="s">
        <v>184</v>
      </c>
    </row>
    <row r="5" customFormat="false" ht="15" hidden="false" customHeight="false" outlineLevel="0" collapsed="false">
      <c r="A5" s="8" t="s">
        <v>185</v>
      </c>
      <c r="B5" s="8" t="s">
        <v>182</v>
      </c>
      <c r="C5" s="8" t="s">
        <v>186</v>
      </c>
      <c r="D5" s="8" t="s">
        <v>184</v>
      </c>
    </row>
    <row r="6" customFormat="false" ht="15" hidden="false" customHeight="false" outlineLevel="0" collapsed="false">
      <c r="A6" s="8" t="s">
        <v>187</v>
      </c>
      <c r="B6" s="8" t="s">
        <v>182</v>
      </c>
      <c r="C6" s="8" t="s">
        <v>188</v>
      </c>
      <c r="D6" s="8" t="s">
        <v>184</v>
      </c>
    </row>
    <row r="7" customFormat="false" ht="15" hidden="false" customHeight="false" outlineLevel="0" collapsed="false">
      <c r="A7" s="8" t="s">
        <v>189</v>
      </c>
      <c r="B7" s="8" t="s">
        <v>182</v>
      </c>
      <c r="C7" s="8" t="s">
        <v>190</v>
      </c>
      <c r="D7" s="8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2026-09-25T01:59:52Z</dcterms:created>
  <dc:creator>openpyxl</dc:creator>
  <dc:description/>
  <dc:language>en-US</dc:language>
  <cp:lastModifiedBy/>
  <dcterms:modified xsi:type="dcterms:W3CDTF">2026-09-25T01:59:52Z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