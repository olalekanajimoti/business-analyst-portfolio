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Objectives" sheetId="2" state="visible" r:id="rId2"/>
    <sheet xmlns:r="http://schemas.openxmlformats.org/officeDocument/2006/relationships" name="Requirements" sheetId="3" state="visible" r:id="rId3"/>
    <sheet xmlns:r="http://schemas.openxmlformats.org/officeDocument/2006/relationships" name="Functional" sheetId="4" state="visible" r:id="rId4"/>
    <sheet xmlns:r="http://schemas.openxmlformats.org/officeDocument/2006/relationships" name="User Stories" sheetId="5" state="visible" r:id="rId5"/>
    <sheet xmlns:r="http://schemas.openxmlformats.org/officeDocument/2006/relationships" name="Stakeholders" sheetId="6" state="visible" r:id="rId6"/>
    <sheet xmlns:r="http://schemas.openxmlformats.org/officeDocument/2006/relationships" name="RAID" sheetId="7" state="visible" r:id="rId7"/>
    <sheet xmlns:r="http://schemas.openxmlformats.org/officeDocument/2006/relationships" name="UAT" sheetId="8" state="visible" r:id="rId8"/>
    <sheet xmlns:r="http://schemas.openxmlformats.org/officeDocument/2006/relationships" name="Traceability" sheetId="9" state="visible" r:id="rId9"/>
    <sheet xmlns:r="http://schemas.openxmlformats.org/officeDocument/2006/relationships" name="Data Dictionary"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5253D"/>
      <sz val="14"/>
    </font>
    <font>
      <name val="Arial"/>
      <charset val="1"/>
      <family val="0"/>
      <b val="1"/>
      <sz val="11"/>
    </font>
    <font>
      <name val="Arial"/>
      <charset val="1"/>
      <family val="0"/>
      <sz val="10"/>
    </font>
    <font>
      <name val="Arial"/>
      <charset val="1"/>
      <family val="0"/>
      <b val="1"/>
      <color rgb="FFFFFFFF"/>
      <sz val="11"/>
    </font>
    <font>
      <name val="Arial"/>
      <charset val="1"/>
      <family val="0"/>
      <i val="1"/>
      <color rgb="FF64748B"/>
      <sz val="11"/>
    </font>
  </fonts>
  <fills count="3">
    <fill>
      <patternFill/>
    </fill>
    <fill>
      <patternFill patternType="gray125"/>
    </fill>
    <fill>
      <patternFill patternType="solid">
        <fgColor rgb="FF15253D"/>
        <bgColor rgb="FF003366"/>
      </patternFill>
    </fill>
  </fills>
  <borders count="2">
    <border>
      <left/>
      <right/>
      <top/>
      <bottom/>
      <diagonal/>
    </border>
    <border>
      <left style="thin">
        <color rgb="FFD5DDE8"/>
      </left>
      <right style="thin">
        <color rgb="FFD5DDE8"/>
      </right>
      <top style="thin">
        <color rgb="FFD5DDE8"/>
      </top>
      <bottom style="thin">
        <color rgb="FFD5DDE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5DD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003366"/>
      <rgbColor rgb="FF339966"/>
      <rgbColor rgb="FF003300"/>
      <rgbColor rgb="FF333300"/>
      <rgbColor rgb="FF993300"/>
      <rgbColor rgb="FF993366"/>
      <rgbColor rgb="FF333399"/>
      <rgbColor rgb="FF1525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9" min="1" max="1"/>
    <col width="80" customWidth="1" style="9" min="2" max="2"/>
    <col width="16" customWidth="1" style="9" min="3" max="3"/>
  </cols>
  <sheetData>
    <row r="1" ht="17.35" customHeight="1" s="10">
      <c r="A1" s="11" t="inlineStr">
        <is>
          <t>MyTicketSeller Event Ticketing Platform</t>
        </is>
      </c>
    </row>
    <row r="3" ht="15" customHeight="1" s="10">
      <c r="A3" s="12" t="inlineStr">
        <is>
          <t>Status</t>
        </is>
      </c>
      <c r="B3" s="13" t="inlineStr">
        <is>
          <t>Live</t>
        </is>
      </c>
    </row>
    <row r="4" ht="15" customHeight="1" s="10">
      <c r="A4" s="12" t="inlineStr">
        <is>
          <t>Domain</t>
        </is>
      </c>
      <c r="B4" s="13" t="inlineStr">
        <is>
          <t>Event technology and payments</t>
        </is>
      </c>
    </row>
    <row r="5" ht="15" customHeight="1" s="10">
      <c r="A5" s="12" t="inlineStr">
        <is>
          <t>Role</t>
        </is>
      </c>
      <c r="B5" s="13" t="inlineStr">
        <is>
          <t>Founder, Product Owner and Business Analyst</t>
        </is>
      </c>
    </row>
    <row r="6" ht="23.85" customHeight="1" s="10">
      <c r="A6" s="12" t="inlineStr">
        <is>
          <t>Business problem</t>
        </is>
      </c>
      <c r="B6" s="13" t="inlineStr">
        <is>
          <t>Organisers selling to Nigerian and diaspora audiences needed to take payment in more than one currency, get paid reliably and control who enters. Early builds were split across separate codebases, payment callbacks were unreliable and revenue was reported in blended currencies.</t>
        </is>
      </c>
    </row>
    <row r="9" ht="15" customHeight="1" s="10">
      <c r="A9" s="14" t="inlineStr">
        <is>
          <t>Measure</t>
        </is>
      </c>
      <c r="B9" s="14" t="inlineStr">
        <is>
          <t>Value</t>
        </is>
      </c>
      <c r="C9" s="14" t="inlineStr">
        <is>
          <t>Source</t>
        </is>
      </c>
    </row>
    <row r="10" ht="15" customHeight="1" s="10">
      <c r="A10" s="15" t="inlineStr">
        <is>
          <t>Business requirements</t>
        </is>
      </c>
      <c r="B10" s="15">
        <f>COUNTA(Requirements!A2:A200)</f>
        <v/>
      </c>
      <c r="C10" s="15" t="inlineStr">
        <is>
          <t>Requirements</t>
        </is>
      </c>
    </row>
    <row r="11" ht="15" customHeight="1" s="10">
      <c r="A11" s="15" t="inlineStr">
        <is>
          <t>Must requirements</t>
        </is>
      </c>
      <c r="B11" s="15">
        <f>COUNTIF(Requirements!C2:C200,"Must")</f>
        <v/>
      </c>
      <c r="C11" s="15" t="inlineStr">
        <is>
          <t>Requirements</t>
        </is>
      </c>
    </row>
    <row r="12" ht="15" customHeight="1" s="10">
      <c r="A12" s="15" t="inlineStr">
        <is>
          <t>Should requirements</t>
        </is>
      </c>
      <c r="B12" s="15">
        <f>COUNTIF(Requirements!C2:C200,"Should")</f>
        <v/>
      </c>
      <c r="C12" s="15" t="inlineStr">
        <is>
          <t>Requirements</t>
        </is>
      </c>
    </row>
    <row r="13" ht="15" customHeight="1" s="10">
      <c r="A13" s="15" t="inlineStr">
        <is>
          <t>Functional requirements</t>
        </is>
      </c>
      <c r="B13" s="15">
        <f>COUNTA(Functional!A2:A200)</f>
        <v/>
      </c>
      <c r="C13" s="15" t="inlineStr">
        <is>
          <t>Functional</t>
        </is>
      </c>
    </row>
    <row r="14" ht="15" customHeight="1" s="10">
      <c r="A14" s="15" t="inlineStr">
        <is>
          <t>Requirements with a test</t>
        </is>
      </c>
      <c r="B14" s="15">
        <f>COUNTIF(Traceability!F2:F200,"&gt;0")</f>
        <v/>
      </c>
      <c r="C14" s="15" t="inlineStr">
        <is>
          <t>Traceability</t>
        </is>
      </c>
    </row>
    <row r="15" ht="15" customHeight="1" s="10">
      <c r="A15" s="15" t="inlineStr">
        <is>
          <t>Tests with status "Released"</t>
        </is>
      </c>
      <c r="B15" s="15">
        <f>COUNTIF(UAT!F2:F200,"Released")</f>
        <v/>
      </c>
      <c r="C15" s="15" t="inlineStr">
        <is>
          <t>UAT</t>
        </is>
      </c>
    </row>
    <row r="16" ht="15" customHeight="1" s="10">
      <c r="A16" s="15" t="inlineStr">
        <is>
          <t>High risks</t>
        </is>
      </c>
      <c r="B16" s="15">
        <f>COUNTIF(RAID!C2:C200,"High")</f>
        <v/>
      </c>
      <c r="C16" s="15" t="inlineStr">
        <is>
          <t>RAID</t>
        </is>
      </c>
    </row>
    <row r="17" ht="15" customHeight="1" s="10">
      <c r="A17" s="15" t="inlineStr">
        <is>
          <t>Stakeholder groups</t>
        </is>
      </c>
      <c r="B17" s="15">
        <f>COUNTA(Stakeholders!A2:A200)</f>
        <v/>
      </c>
      <c r="C17" s="15" t="inlineStr">
        <is>
          <t>Stakeholders</t>
        </is>
      </c>
    </row>
    <row r="19" ht="15" customHeight="1" s="10">
      <c r="A19" s="16" t="inlineStr">
        <is>
          <t>Counts are formulas and update when rows are added. Status values are recorded on the UAT sheet.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9" min="1" max="1"/>
    <col width="70" customWidth="1" style="9" min="2" max="2"/>
  </cols>
  <sheetData>
    <row r="1" ht="15" customHeight="1" s="10">
      <c r="A1" s="17" t="inlineStr">
        <is>
          <t>Objective ID</t>
        </is>
      </c>
      <c r="B1" s="17" t="inlineStr">
        <is>
          <t>Objective</t>
        </is>
      </c>
    </row>
    <row r="2" ht="15" customHeight="1" s="10">
      <c r="A2" s="18" t="inlineStr">
        <is>
          <t>OBJ-01</t>
        </is>
      </c>
      <c r="B2" s="18" t="inlineStr">
        <is>
          <t>Take payment reliably and deliver tickets immediately</t>
        </is>
      </c>
    </row>
    <row r="3" ht="15" customHeight="1" s="10">
      <c r="A3" s="18" t="inlineStr">
        <is>
          <t>OBJ-02</t>
        </is>
      </c>
      <c r="B3" s="18" t="inlineStr">
        <is>
          <t>Report revenue, balances and payouts accurately in each currency</t>
        </is>
      </c>
    </row>
    <row r="4" ht="15" customHeight="1" s="10">
      <c r="A4" s="18" t="inlineStr">
        <is>
          <t>OBJ-03</t>
        </is>
      </c>
      <c r="B4" s="18" t="inlineStr">
        <is>
          <t>Control event access through ticket ownership, team roles and scanning</t>
        </is>
      </c>
    </row>
    <row r="5" ht="15" customHeight="1" s="10">
      <c r="A5" s="18" t="inlineStr">
        <is>
          <t>OBJ-04</t>
        </is>
      </c>
      <c r="B5" s="18" t="inlineStr">
        <is>
          <t>Protect buyers, organisers and the platform through refunds, dispute evidence and security</t>
        </is>
      </c>
    </row>
    <row r="6">
      <c r="A6" s="18" t="inlineStr">
        <is>
          <t>OBJ-05</t>
        </is>
      </c>
      <c r="B6" s="18" t="inlineStr">
        <is>
          <t>Measure marketing performance only with visitor consent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9" min="1" max="1"/>
    <col width="55" customWidth="1" style="9" min="2" max="2"/>
    <col width="10" customWidth="1" style="9" min="3" max="3"/>
    <col width="13" customWidth="1" style="9" min="4" max="4"/>
    <col width="40" customWidth="1" style="9" min="5" max="5"/>
    <col width="55" customWidth="1" style="9" min="6" max="6"/>
  </cols>
  <sheetData>
    <row r="1" ht="15" customHeight="1" s="10">
      <c r="A1" s="17" t="inlineStr">
        <is>
          <t>ID</t>
        </is>
      </c>
      <c r="B1" s="17" t="inlineStr">
        <is>
          <t>Requirement</t>
        </is>
      </c>
      <c r="C1" s="17" t="inlineStr">
        <is>
          <t>Priority</t>
        </is>
      </c>
      <c r="D1" s="17" t="inlineStr">
        <is>
          <t>Objective ID</t>
        </is>
      </c>
      <c r="E1" s="17" t="inlineStr">
        <is>
          <t>Objective</t>
        </is>
      </c>
      <c r="F1" s="17" t="inlineStr">
        <is>
          <t>Acceptance criterion</t>
        </is>
      </c>
    </row>
    <row r="2" ht="23.85" customHeight="1" s="10">
      <c r="A2" s="18" t="inlineStr">
        <is>
          <t>BR-01</t>
        </is>
      </c>
      <c r="B2" s="18" t="inlineStr">
        <is>
          <t>Confirmed payments issue tickets in the same checkout session</t>
        </is>
      </c>
      <c r="C2" s="18" t="inlineStr">
        <is>
          <t>Must</t>
        </is>
      </c>
      <c r="D2" s="18" t="inlineStr">
        <is>
          <t>OBJ-01</t>
        </is>
      </c>
      <c r="E2" s="18" t="inlineStr">
        <is>
          <t>Take payment reliably and deliver tickets immediately</t>
        </is>
      </c>
      <c r="F2" s="18" t="inlineStr">
        <is>
          <t>Tickets are emailed once the return page verifies payment; pending orders are reconciled automatically</t>
        </is>
      </c>
    </row>
    <row r="3" ht="23.85" customHeight="1" s="10">
      <c r="A3" s="18" t="inlineStr">
        <is>
          <t>BR-02</t>
        </is>
      </c>
      <c r="B3" s="18" t="inlineStr">
        <is>
          <t>Revenue, wallet balances and payouts are held and shown per currency</t>
        </is>
      </c>
      <c r="C3" s="18" t="inlineStr">
        <is>
          <t>Must</t>
        </is>
      </c>
      <c r="D3" s="18" t="inlineStr">
        <is>
          <t>OBJ-02</t>
        </is>
      </c>
      <c r="E3" s="18" t="inlineStr">
        <is>
          <t>Report revenue, balances and payouts accurately in each currency</t>
        </is>
      </c>
      <c r="F3" s="18" t="inlineStr">
        <is>
          <t>No figure sums two currencies; each event reports in its own currency</t>
        </is>
      </c>
    </row>
    <row r="4" ht="23.85" customHeight="1" s="10">
      <c r="A4" s="18" t="inlineStr">
        <is>
          <t>BR-03</t>
        </is>
      </c>
      <c r="B4" s="18" t="inlineStr">
        <is>
          <t>Gateway refunds cancel the ticket and notify the buyer</t>
        </is>
      </c>
      <c r="C4" s="18" t="inlineStr">
        <is>
          <t>Must</t>
        </is>
      </c>
      <c r="D4" s="18" t="inlineStr">
        <is>
          <t>OBJ-04</t>
        </is>
      </c>
      <c r="E4" s="18" t="inlineStr">
        <is>
          <t>Protect buyers, organisers and the platform through refunds, dispute evidence and security</t>
        </is>
      </c>
      <c r="F4" s="18" t="inlineStr">
        <is>
          <t>Webhook signature is verified, the full ticket price is refunded and the ticket shows Cancelled</t>
        </is>
      </c>
    </row>
    <row r="5" ht="23.85" customHeight="1" s="10">
      <c r="A5" s="18" t="inlineStr">
        <is>
          <t>BR-04</t>
        </is>
      </c>
      <c r="B5" s="18" t="inlineStr">
        <is>
          <t>Organisers grant event access by role</t>
        </is>
      </c>
      <c r="C5" s="18" t="inlineStr">
        <is>
          <t>Must</t>
        </is>
      </c>
      <c r="D5" s="18" t="inlineStr">
        <is>
          <t>OBJ-03</t>
        </is>
      </c>
      <c r="E5" s="18" t="inlineStr">
        <is>
          <t>Control event access through ticket ownership, team roles and scanning</t>
        </is>
      </c>
      <c r="F5" s="18" t="inlineStr">
        <is>
          <t>Door staff, viewer and manager roles exist; scanners can scan only events they own or are invited to</t>
        </is>
      </c>
    </row>
    <row r="6" ht="23.85" customHeight="1" s="10">
      <c r="A6" s="18" t="inlineStr">
        <is>
          <t>BR-05</t>
        </is>
      </c>
      <c r="B6" s="18" t="inlineStr">
        <is>
          <t>Tickets can be sent, transferred and swapped without distorting revenue</t>
        </is>
      </c>
      <c r="C6" s="18" t="inlineStr">
        <is>
          <t>Should</t>
        </is>
      </c>
      <c r="D6" s="18" t="inlineStr">
        <is>
          <t>OBJ-03</t>
        </is>
      </c>
      <c r="E6" s="18" t="inlineStr">
        <is>
          <t>Control event access through ticket ownership, team roles and scanning</t>
        </is>
      </c>
      <c r="F6" s="18" t="inlineStr">
        <is>
          <t>A swapped ticket moves its revenue and is not counted as a new sale</t>
        </is>
      </c>
    </row>
    <row r="7">
      <c r="A7" s="18" t="inlineStr">
        <is>
          <t>BR-06</t>
        </is>
      </c>
      <c r="B7" s="18" t="inlineStr">
        <is>
          <t>Chargeback evidence is compiled from checkout records</t>
        </is>
      </c>
      <c r="C7" s="18" t="inlineStr">
        <is>
          <t>Should</t>
        </is>
      </c>
      <c r="D7" s="18" t="inlineStr">
        <is>
          <t>OBJ-04</t>
        </is>
      </c>
      <c r="E7" s="18" t="inlineStr">
        <is>
          <t>Protect buyers, organisers and the platform through refunds, dispute evidence and security</t>
        </is>
      </c>
      <c r="F7" s="18" t="inlineStr">
        <is>
          <t>Terms consent is logged at checkout and an evidence PDF can be exported per dispute</t>
        </is>
      </c>
    </row>
    <row r="8">
      <c r="A8" s="18" t="inlineStr">
        <is>
          <t>BR-07</t>
        </is>
      </c>
      <c r="B8" s="18" t="inlineStr">
        <is>
          <t>Tracking pixels load only after consent</t>
        </is>
      </c>
      <c r="C8" s="18" t="inlineStr">
        <is>
          <t>Must</t>
        </is>
      </c>
      <c r="D8" s="18" t="inlineStr">
        <is>
          <t>OBJ-05</t>
        </is>
      </c>
      <c r="E8" s="18" t="inlineStr">
        <is>
          <t>Measure marketing performance only with visitor consent</t>
        </is>
      </c>
      <c r="F8" s="18" t="inlineStr">
        <is>
          <t>GA4, Meta and TikTok stay blocked until accepted; purchase events carry an event_id for deduplication</t>
        </is>
      </c>
    </row>
    <row r="9">
      <c r="A9" s="18" t="inlineStr">
        <is>
          <t>BR-08</t>
        </is>
      </c>
      <c r="B9" s="18" t="inlineStr">
        <is>
          <t>Accounts, content and secrets are protected</t>
        </is>
      </c>
      <c r="C9" s="18" t="inlineStr">
        <is>
          <t>Must</t>
        </is>
      </c>
      <c r="D9" s="18" t="inlineStr">
        <is>
          <t>OBJ-04</t>
        </is>
      </c>
      <c r="E9" s="18" t="inlineStr">
        <is>
          <t>Protect buyers, organisers and the platform through refunds, dispute evidence and security</t>
        </is>
      </c>
      <c r="F9" s="18" t="inlineStr">
        <is>
          <t>Auth endpoints are rate limited, rich text is sanitised and no secret is exposed in code or endpoints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9" min="1" max="1"/>
    <col width="11" customWidth="1" style="9" min="2" max="2"/>
    <col width="60" customWidth="1" style="9" min="3" max="3"/>
    <col width="55" customWidth="1" style="9" min="4" max="4"/>
  </cols>
  <sheetData>
    <row r="1" ht="15" customHeight="1" s="10">
      <c r="A1" s="17" t="inlineStr">
        <is>
          <t>ID</t>
        </is>
      </c>
      <c r="B1" s="17" t="inlineStr">
        <is>
          <t>Parent BR</t>
        </is>
      </c>
      <c r="C1" s="17" t="inlineStr">
        <is>
          <t>System behaviour</t>
        </is>
      </c>
      <c r="D1" s="17" t="inlineStr">
        <is>
          <t>Business rule or validation</t>
        </is>
      </c>
    </row>
    <row r="2" ht="23.85" customHeight="1" s="10">
      <c r="A2" s="18" t="inlineStr">
        <is>
          <t>FR-01</t>
        </is>
      </c>
      <c r="B2" s="18" t="inlineStr">
        <is>
          <t>BR-01</t>
        </is>
      </c>
      <c r="C2" s="18" t="inlineStr">
        <is>
          <t>Return page verifies payment with the gateway before showing tickets</t>
        </is>
      </c>
      <c r="D2" s="18" t="inlineStr">
        <is>
          <t>Gateway confirms paid: order completes; the webhook is a backup, not the only path</t>
        </is>
      </c>
    </row>
    <row r="3" ht="15" customHeight="1" s="10">
      <c r="A3" s="18" t="inlineStr">
        <is>
          <t>FR-02</t>
        </is>
      </c>
      <c r="B3" s="18" t="inlineStr">
        <is>
          <t>BR-01</t>
        </is>
      </c>
      <c r="C3" s="18" t="inlineStr">
        <is>
          <t>Scheduled reconciliation re-checks orders left pending</t>
        </is>
      </c>
      <c r="D3" s="18" t="inlineStr">
        <is>
          <t>Orders for events already past are not auto-completed</t>
        </is>
      </c>
    </row>
    <row r="4" ht="15" customHeight="1" s="10">
      <c r="A4" s="18" t="inlineStr">
        <is>
          <t>FR-03</t>
        </is>
      </c>
      <c r="B4" s="18" t="inlineStr">
        <is>
          <t>BR-02</t>
        </is>
      </c>
      <c r="C4" s="18" t="inlineStr">
        <is>
          <t>Wallet ledger and withdrawal requests held per currency</t>
        </is>
      </c>
      <c r="D4" s="18" t="inlineStr">
        <is>
          <t>Only active events count toward balance; fees shown before withdrawal</t>
        </is>
      </c>
    </row>
    <row r="5" ht="23.85" customHeight="1" s="10">
      <c r="A5" s="18" t="inlineStr">
        <is>
          <t>FR-04</t>
        </is>
      </c>
      <c r="B5" s="18" t="inlineStr">
        <is>
          <t>BR-02</t>
        </is>
      </c>
      <c r="C5" s="18" t="inlineStr">
        <is>
          <t>Event currency derived from its paid ticket types</t>
        </is>
      </c>
      <c r="D5" s="18" t="inlineStr">
        <is>
          <t>A free ticket never sets the event or cart currency</t>
        </is>
      </c>
    </row>
    <row r="6" ht="23.85" customHeight="1" s="10">
      <c r="A6" s="18" t="inlineStr">
        <is>
          <t>FR-05</t>
        </is>
      </c>
      <c r="B6" s="18" t="inlineStr">
        <is>
          <t>BR-03</t>
        </is>
      </c>
      <c r="C6" s="18" t="inlineStr">
        <is>
          <t>Refund handlers for Stripe and Flutterwave webhooks</t>
        </is>
      </c>
      <c r="D6" s="18" t="inlineStr">
        <is>
          <t>Invalid signature rejected; refund equals ticket price, not organiser share</t>
        </is>
      </c>
    </row>
    <row r="7" ht="23.85" customHeight="1" s="10">
      <c r="A7" s="18" t="inlineStr">
        <is>
          <t>FR-06</t>
        </is>
      </c>
      <c r="B7" s="18" t="inlineStr">
        <is>
          <t>BR-04</t>
        </is>
      </c>
      <c r="C7" s="18" t="inlineStr">
        <is>
          <t>Team invitations with door staff, viewer or manager role</t>
        </is>
      </c>
      <c r="D7" s="18" t="inlineStr">
        <is>
          <t>Scan endpoint checks event ownership or active invite</t>
        </is>
      </c>
    </row>
    <row r="8">
      <c r="A8" s="18" t="inlineStr">
        <is>
          <t>FR-07</t>
        </is>
      </c>
      <c r="B8" s="18" t="inlineStr">
        <is>
          <t>BR-05</t>
        </is>
      </c>
      <c r="C8" s="18" t="inlineStr">
        <is>
          <t>Ticket send, transfer and organiser swap</t>
        </is>
      </c>
      <c r="D8" s="18" t="inlineStr">
        <is>
          <t>Guest purchases link to an account on login by matching email</t>
        </is>
      </c>
    </row>
    <row r="9">
      <c r="A9" s="18" t="inlineStr">
        <is>
          <t>FR-08</t>
        </is>
      </c>
      <c r="B9" s="18" t="inlineStr">
        <is>
          <t>BR-06</t>
        </is>
      </c>
      <c r="C9" s="18" t="inlineStr">
        <is>
          <t>Admin dispute-evidence view with PDF export</t>
        </is>
      </c>
      <c r="D9" s="18" t="inlineStr">
        <is>
          <t>Includes terms-consent time, reason code and the buyer's prior orders</t>
        </is>
      </c>
    </row>
    <row r="10">
      <c r="A10" s="18" t="inlineStr">
        <is>
          <t>FR-09</t>
        </is>
      </c>
      <c r="B10" s="18" t="inlineStr">
        <is>
          <t>BR-07</t>
        </is>
      </c>
      <c r="C10" s="18" t="inlineStr">
        <is>
          <t>Consent banner controls GA4, Meta Pixel and TikTok Pixel</t>
        </is>
      </c>
      <c r="D10" s="18" t="inlineStr">
        <is>
          <t>No tracking script loads before consent is recorded</t>
        </is>
      </c>
    </row>
    <row r="11">
      <c r="A11" s="18" t="inlineStr">
        <is>
          <t>FR-10</t>
        </is>
      </c>
      <c r="B11" s="18" t="inlineStr">
        <is>
          <t>BR-08</t>
        </is>
      </c>
      <c r="C11" s="18" t="inlineStr">
        <is>
          <t>Rate limits on auth, sanitised rich text and security headers</t>
        </is>
      </c>
      <c r="D11" s="18" t="inlineStr">
        <is>
          <t>App refuses to start in production without a JWT secret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9" min="1" max="1"/>
    <col width="10" customWidth="1" style="9" min="2" max="2"/>
    <col width="22" customWidth="1" style="9" min="3" max="3"/>
    <col width="35" customWidth="1" style="9" min="4" max="5"/>
    <col width="30" customWidth="1" style="9" min="6" max="6"/>
    <col width="28" customWidth="1" style="9" min="7" max="7"/>
    <col width="40" customWidth="1" style="9" min="8" max="8"/>
  </cols>
  <sheetData>
    <row r="1" ht="26.85" customHeight="1" s="10">
      <c r="A1" s="17" t="inlineStr">
        <is>
          <t>ID</t>
        </is>
      </c>
      <c r="B1" s="17" t="inlineStr">
        <is>
          <t>Parent BR</t>
        </is>
      </c>
      <c r="C1" s="17" t="inlineStr">
        <is>
          <t>As a</t>
        </is>
      </c>
      <c r="D1" s="17" t="inlineStr">
        <is>
          <t>I want</t>
        </is>
      </c>
      <c r="E1" s="17" t="inlineStr">
        <is>
          <t>So that</t>
        </is>
      </c>
      <c r="F1" s="17" t="inlineStr">
        <is>
          <t>Given</t>
        </is>
      </c>
      <c r="G1" s="17" t="inlineStr">
        <is>
          <t>When</t>
        </is>
      </c>
      <c r="H1" s="17" t="inlineStr">
        <is>
          <t>Then</t>
        </is>
      </c>
    </row>
    <row r="2" ht="23.85" customHeight="1" s="10">
      <c r="A2" s="18" t="inlineStr">
        <is>
          <t>US-01</t>
        </is>
      </c>
      <c r="B2" s="18" t="inlineStr">
        <is>
          <t>BR-01</t>
        </is>
      </c>
      <c r="C2" s="18" t="inlineStr">
        <is>
          <t>a ticket buyer</t>
        </is>
      </c>
      <c r="D2" s="18" t="inlineStr">
        <is>
          <t>my tickets the moment my payment succeeds</t>
        </is>
      </c>
      <c r="E2" s="18" t="inlineStr">
        <is>
          <t>I never pay twice because the page said it failed</t>
        </is>
      </c>
      <c r="F2" s="18" t="inlineStr">
        <is>
          <t>my card has been charged</t>
        </is>
      </c>
      <c r="G2" s="18" t="inlineStr">
        <is>
          <t>I return to the site</t>
        </is>
      </c>
      <c r="H2" s="18" t="inlineStr">
        <is>
          <t>my order shows paid and the tickets are in my inbox</t>
        </is>
      </c>
    </row>
    <row r="3" ht="23.85" customHeight="1" s="10">
      <c r="A3" s="18" t="inlineStr">
        <is>
          <t>US-02</t>
        </is>
      </c>
      <c r="B3" s="18" t="inlineStr">
        <is>
          <t>BR-02</t>
        </is>
      </c>
      <c r="C3" s="18" t="inlineStr">
        <is>
          <t>an organiser selling in naira and pounds</t>
        </is>
      </c>
      <c r="D3" s="18" t="inlineStr">
        <is>
          <t>to see earnings in each currency separately</t>
        </is>
      </c>
      <c r="E3" s="18" t="inlineStr">
        <is>
          <t>I know exactly what I can withdraw</t>
        </is>
      </c>
      <c r="F3" s="18" t="inlineStr">
        <is>
          <t>an event has sales in GBP</t>
        </is>
      </c>
      <c r="G3" s="18" t="inlineStr">
        <is>
          <t>I open my wallet</t>
        </is>
      </c>
      <c r="H3" s="18" t="inlineStr">
        <is>
          <t>the GBP balance is shown on its own, with fees itemised</t>
        </is>
      </c>
    </row>
    <row r="4" ht="23.85" customHeight="1" s="10">
      <c r="A4" s="18" t="inlineStr">
        <is>
          <t>US-03</t>
        </is>
      </c>
      <c r="B4" s="18" t="inlineStr">
        <is>
          <t>BR-04</t>
        </is>
      </c>
      <c r="C4" s="18" t="inlineStr">
        <is>
          <t>an organiser</t>
        </is>
      </c>
      <c r="D4" s="18" t="inlineStr">
        <is>
          <t>to invite door staff who can only scan my event</t>
        </is>
      </c>
      <c r="E4" s="18" t="inlineStr">
        <is>
          <t>I do not have to share my login</t>
        </is>
      </c>
      <c r="F4" s="18" t="inlineStr">
        <is>
          <t>I invite a person as door staff</t>
        </is>
      </c>
      <c r="G4" s="18" t="inlineStr">
        <is>
          <t>they sign in and scan</t>
        </is>
      </c>
      <c r="H4" s="18" t="inlineStr">
        <is>
          <t>they can scan my event and cannot see earnings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9" min="1" max="1"/>
    <col width="11" customWidth="1" style="9" min="2" max="2"/>
    <col width="10" customWidth="1" style="9" min="3" max="3"/>
    <col width="32" customWidth="1" style="9" min="4" max="6"/>
    <col width="22" customWidth="1" style="9" min="7" max="7"/>
    <col width="16" customWidth="1" style="9" min="8" max="8"/>
  </cols>
  <sheetData>
    <row r="1" ht="15" customHeight="1" s="10">
      <c r="A1" s="17" t="inlineStr">
        <is>
          <t>Stakeholder</t>
        </is>
      </c>
      <c r="B1" s="17" t="inlineStr">
        <is>
          <t>Influence</t>
        </is>
      </c>
      <c r="C1" s="17" t="inlineStr">
        <is>
          <t>Interest</t>
        </is>
      </c>
      <c r="D1" s="17" t="inlineStr">
        <is>
          <t>Primary interest</t>
        </is>
      </c>
      <c r="E1" s="17" t="inlineStr">
        <is>
          <t>Information need</t>
        </is>
      </c>
      <c r="F1" s="17" t="inlineStr">
        <is>
          <t>Method</t>
        </is>
      </c>
      <c r="G1" s="17" t="inlineStr">
        <is>
          <t>Cadence</t>
        </is>
      </c>
      <c r="H1" s="17" t="inlineStr">
        <is>
          <t>Approach</t>
        </is>
      </c>
    </row>
    <row r="2" ht="15" customHeight="1" s="10">
      <c r="A2" s="18" t="inlineStr">
        <is>
          <t>Event organisers</t>
        </is>
      </c>
      <c r="B2" s="18" t="inlineStr">
        <is>
          <t>High</t>
        </is>
      </c>
      <c r="C2" s="18" t="inlineStr">
        <is>
          <t>High</t>
        </is>
      </c>
      <c r="D2" s="18" t="inlineStr">
        <is>
          <t>Payouts, sales visibility, door control</t>
        </is>
      </c>
      <c r="E2" s="18" t="inlineStr">
        <is>
          <t>Earnings rules, payout timing</t>
        </is>
      </c>
      <c r="F2" s="18" t="inlineStr">
        <is>
          <t>Dashboard messages and release notes</t>
        </is>
      </c>
      <c r="G2" s="18" t="inlineStr">
        <is>
          <t>Per release</t>
        </is>
      </c>
      <c r="H2" s="18" t="inlineStr">
        <is>
          <t>Manage closely</t>
        </is>
      </c>
    </row>
    <row r="3" ht="15" customHeight="1" s="10">
      <c r="A3" s="18" t="inlineStr">
        <is>
          <t>Ticket buyers</t>
        </is>
      </c>
      <c r="B3" s="18" t="inlineStr">
        <is>
          <t>Low</t>
        </is>
      </c>
      <c r="C3" s="18" t="inlineStr">
        <is>
          <t>High</t>
        </is>
      </c>
      <c r="D3" s="18" t="inlineStr">
        <is>
          <t>Fast checkout, instant tickets, refunds</t>
        </is>
      </c>
      <c r="E3" s="18" t="inlineStr">
        <is>
          <t>Order status, refund outcome</t>
        </is>
      </c>
      <c r="F3" s="18" t="inlineStr">
        <is>
          <t>Transactional email</t>
        </is>
      </c>
      <c r="G3" s="18" t="inlineStr">
        <is>
          <t>Per order</t>
        </is>
      </c>
      <c r="H3" s="18" t="inlineStr">
        <is>
          <t>Keep informed</t>
        </is>
      </c>
    </row>
    <row r="4" ht="23.85" customHeight="1" s="10">
      <c r="A4" s="18" t="inlineStr">
        <is>
          <t>Door and scanning staff</t>
        </is>
      </c>
      <c r="B4" s="18" t="inlineStr">
        <is>
          <t>Low</t>
        </is>
      </c>
      <c r="C4" s="18" t="inlineStr">
        <is>
          <t>Medium</t>
        </is>
      </c>
      <c r="D4" s="18" t="inlineStr">
        <is>
          <t>Simple, fast scanning</t>
        </is>
      </c>
      <c r="E4" s="18" t="inlineStr">
        <is>
          <t>Their role and event</t>
        </is>
      </c>
      <c r="F4" s="18" t="inlineStr">
        <is>
          <t>Invite email and in-app guidance</t>
        </is>
      </c>
      <c r="G4" s="18" t="inlineStr">
        <is>
          <t>Per event</t>
        </is>
      </c>
      <c r="H4" s="18" t="inlineStr">
        <is>
          <t>Keep informed</t>
        </is>
      </c>
    </row>
    <row r="5" ht="15" customHeight="1" s="10">
      <c r="A5" s="18" t="inlineStr">
        <is>
          <t>Platform admin and finance</t>
        </is>
      </c>
      <c r="B5" s="18" t="inlineStr">
        <is>
          <t>High</t>
        </is>
      </c>
      <c r="C5" s="18" t="inlineStr">
        <is>
          <t>High</t>
        </is>
      </c>
      <c r="D5" s="18" t="inlineStr">
        <is>
          <t>Accurate revenue, withdrawals, disputes</t>
        </is>
      </c>
      <c r="E5" s="18" t="inlineStr">
        <is>
          <t>Currency totals, pending approvals</t>
        </is>
      </c>
      <c r="F5" s="18" t="inlineStr">
        <is>
          <t>Admin panel</t>
        </is>
      </c>
      <c r="G5" s="18" t="inlineStr">
        <is>
          <t>Daily</t>
        </is>
      </c>
      <c r="H5" s="18" t="inlineStr">
        <is>
          <t>Manage closely</t>
        </is>
      </c>
    </row>
    <row r="6" ht="15" customHeight="1" s="10">
      <c r="A6" s="18" t="inlineStr">
        <is>
          <t>Contract developers</t>
        </is>
      </c>
      <c r="B6" s="18" t="inlineStr">
        <is>
          <t>High</t>
        </is>
      </c>
      <c r="C6" s="18" t="inlineStr">
        <is>
          <t>Medium</t>
        </is>
      </c>
      <c r="D6" s="18" t="inlineStr">
        <is>
          <t>Clear, testable requirements</t>
        </is>
      </c>
      <c r="E6" s="18" t="inlineStr">
        <is>
          <t>Acceptance criteria and priorities</t>
        </is>
      </c>
      <c r="F6" s="18" t="inlineStr">
        <is>
          <t>Backlog walkthrough</t>
        </is>
      </c>
      <c r="G6" s="18" t="inlineStr">
        <is>
          <t>Each sprint</t>
        </is>
      </c>
      <c r="H6" s="18" t="inlineStr">
        <is>
          <t>Keep satisfied</t>
        </is>
      </c>
    </row>
    <row r="7">
      <c r="A7" s="18" t="inlineStr">
        <is>
          <t>Payment providers</t>
        </is>
      </c>
      <c r="B7" s="18" t="inlineStr">
        <is>
          <t>Medium</t>
        </is>
      </c>
      <c r="C7" s="18" t="inlineStr">
        <is>
          <t>Low</t>
        </is>
      </c>
      <c r="D7" s="18" t="inlineStr">
        <is>
          <t>Correct integration and dispute handling</t>
        </is>
      </c>
      <c r="E7" s="18" t="inlineStr">
        <is>
          <t>Webhook and dispute data</t>
        </is>
      </c>
      <c r="F7" s="18" t="inlineStr">
        <is>
          <t>Provider dashboards</t>
        </is>
      </c>
      <c r="G7" s="18" t="inlineStr">
        <is>
          <t>As needed</t>
        </is>
      </c>
      <c r="H7" s="18" t="inlineStr">
        <is>
          <t>Monitor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9" min="1" max="1"/>
    <col width="42" customWidth="1" style="9" min="2" max="2"/>
    <col width="10" customWidth="1" style="9" min="3" max="3"/>
    <col width="42" customWidth="1" style="9" min="4" max="4"/>
    <col width="22" customWidth="1" style="9" min="5" max="5"/>
  </cols>
  <sheetData>
    <row r="1" ht="15" customHeight="1" s="10">
      <c r="A1" s="17" t="inlineStr">
        <is>
          <t>ID</t>
        </is>
      </c>
      <c r="B1" s="17" t="inlineStr">
        <is>
          <t>Risk</t>
        </is>
      </c>
      <c r="C1" s="17" t="inlineStr">
        <is>
          <t>Severity</t>
        </is>
      </c>
      <c r="D1" s="17" t="inlineStr">
        <is>
          <t>Response</t>
        </is>
      </c>
      <c r="E1" s="17" t="inlineStr">
        <is>
          <t>Owner</t>
        </is>
      </c>
    </row>
    <row r="2" ht="23.85" customHeight="1" s="10">
      <c r="A2" s="18" t="inlineStr">
        <is>
          <t>R-01</t>
        </is>
      </c>
      <c r="B2" s="18" t="inlineStr">
        <is>
          <t>Payment callbacks arrive late or not at all</t>
        </is>
      </c>
      <c r="C2" s="18" t="inlineStr">
        <is>
          <t>High</t>
        </is>
      </c>
      <c r="D2" s="18" t="inlineStr">
        <is>
          <t>Verify on return page and reconcile pending orders</t>
        </is>
      </c>
      <c r="E2" s="18" t="inlineStr">
        <is>
          <t>Product owner</t>
        </is>
      </c>
    </row>
    <row r="3" ht="15" customHeight="1" s="10">
      <c r="A3" s="18" t="inlineStr">
        <is>
          <t>R-02</t>
        </is>
      </c>
      <c r="B3" s="18" t="inlineStr">
        <is>
          <t>Currency errors misstate organiser earnings</t>
        </is>
      </c>
      <c r="C3" s="18" t="inlineStr">
        <is>
          <t>High</t>
        </is>
      </c>
      <c r="D3" s="18" t="inlineStr">
        <is>
          <t>Per-currency ledger and display rules</t>
        </is>
      </c>
      <c r="E3" s="18" t="inlineStr">
        <is>
          <t>Product owner</t>
        </is>
      </c>
    </row>
    <row r="4" ht="15" customHeight="1" s="10">
      <c r="A4" s="18" t="inlineStr">
        <is>
          <t>R-03</t>
        </is>
      </c>
      <c r="B4" s="18" t="inlineStr">
        <is>
          <t>Security gaps left by rapid early builds</t>
        </is>
      </c>
      <c r="C4" s="18" t="inlineStr">
        <is>
          <t>High</t>
        </is>
      </c>
      <c r="D4" s="18" t="inlineStr">
        <is>
          <t>Audit: remove debug endpoints, move secrets, rate limit auth</t>
        </is>
      </c>
      <c r="E4" s="18" t="inlineStr">
        <is>
          <t>Product owner</t>
        </is>
      </c>
    </row>
    <row r="5" ht="15" customHeight="1" s="10">
      <c r="A5" s="18" t="inlineStr">
        <is>
          <t>R-04</t>
        </is>
      </c>
      <c r="B5" s="18" t="inlineStr">
        <is>
          <t>Chargebacks lost without evidence</t>
        </is>
      </c>
      <c r="C5" s="18" t="inlineStr">
        <is>
          <t>Medium</t>
        </is>
      </c>
      <c r="D5" s="18" t="inlineStr">
        <is>
          <t>Log terms consent and export evidence per dispute</t>
        </is>
      </c>
      <c r="E5" s="18" t="inlineStr">
        <is>
          <t>Admin and finance</t>
        </is>
      </c>
    </row>
    <row r="6">
      <c r="A6" s="18" t="inlineStr">
        <is>
          <t>R-05</t>
        </is>
      </c>
      <c r="B6" s="18" t="inlineStr">
        <is>
          <t>Dependence on individual contract developers</t>
        </is>
      </c>
      <c r="C6" s="18" t="inlineStr">
        <is>
          <t>Medium</t>
        </is>
      </c>
      <c r="D6" s="18" t="inlineStr">
        <is>
          <t>Single codebase, written requirements and owner-led fixes</t>
        </is>
      </c>
      <c r="E6" s="18" t="inlineStr">
        <is>
          <t>Product owner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9" min="1" max="1"/>
    <col width="12" customWidth="1" style="9" min="2" max="2"/>
    <col width="36" customWidth="1" style="9" min="3" max="3"/>
    <col width="34" customWidth="1" style="9" min="4" max="4"/>
    <col width="44" customWidth="1" style="9" min="5" max="5"/>
    <col width="26" customWidth="1" style="9" min="6" max="6"/>
  </cols>
  <sheetData>
    <row r="1" ht="26.85" customHeight="1" s="10">
      <c r="A1" s="17" t="inlineStr">
        <is>
          <t>Test ID</t>
        </is>
      </c>
      <c r="B1" s="17" t="inlineStr">
        <is>
          <t>Requirement</t>
        </is>
      </c>
      <c r="C1" s="17" t="inlineStr">
        <is>
          <t>Given</t>
        </is>
      </c>
      <c r="D1" s="17" t="inlineStr">
        <is>
          <t>When</t>
        </is>
      </c>
      <c r="E1" s="17" t="inlineStr">
        <is>
          <t>Then</t>
        </is>
      </c>
      <c r="F1" s="17" t="inlineStr">
        <is>
          <t>Status</t>
        </is>
      </c>
    </row>
    <row r="2" ht="23.85" customHeight="1" s="10">
      <c r="A2" s="18" t="inlineStr">
        <is>
          <t>UAT-01</t>
        </is>
      </c>
      <c r="B2" s="18" t="inlineStr">
        <is>
          <t>BR-01</t>
        </is>
      </c>
      <c r="C2" s="18" t="inlineStr">
        <is>
          <t>a buyer whose payment succeeded but whose webhook is delayed</t>
        </is>
      </c>
      <c r="D2" s="18" t="inlineStr">
        <is>
          <t>they land on the return page</t>
        </is>
      </c>
      <c r="E2" s="18" t="inlineStr">
        <is>
          <t>the order is verified and tickets are emailed</t>
        </is>
      </c>
      <c r="F2" s="18" t="inlineStr">
        <is>
          <t>Released</t>
        </is>
      </c>
    </row>
    <row r="3" ht="15" customHeight="1" s="10">
      <c r="A3" s="18" t="inlineStr">
        <is>
          <t>UAT-02</t>
        </is>
      </c>
      <c r="B3" s="18" t="inlineStr">
        <is>
          <t>BR-01</t>
        </is>
      </c>
      <c r="C3" s="18" t="inlineStr">
        <is>
          <t>an order left pending for a future event</t>
        </is>
      </c>
      <c r="D3" s="18" t="inlineStr">
        <is>
          <t>reconciliation runs</t>
        </is>
      </c>
      <c r="E3" s="18" t="inlineStr">
        <is>
          <t>a paid order completes and an unpaid one stays pending</t>
        </is>
      </c>
      <c r="F3" s="18" t="inlineStr">
        <is>
          <t>Released</t>
        </is>
      </c>
    </row>
    <row r="4" ht="15" customHeight="1" s="10">
      <c r="A4" s="18" t="inlineStr">
        <is>
          <t>UAT-03</t>
        </is>
      </c>
      <c r="B4" s="18" t="inlineStr">
        <is>
          <t>BR-02</t>
        </is>
      </c>
      <c r="C4" s="18" t="inlineStr">
        <is>
          <t>an event with naira and pound sales</t>
        </is>
      </c>
      <c r="D4" s="18" t="inlineStr">
        <is>
          <t>the organiser opens the wallet</t>
        </is>
      </c>
      <c r="E4" s="18" t="inlineStr">
        <is>
          <t>each currency shows its own balance</t>
        </is>
      </c>
      <c r="F4" s="18" t="inlineStr">
        <is>
          <t>Released</t>
        </is>
      </c>
    </row>
    <row r="5" ht="15" customHeight="1" s="10">
      <c r="A5" s="18" t="inlineStr">
        <is>
          <t>UAT-04</t>
        </is>
      </c>
      <c r="B5" s="18" t="inlineStr">
        <is>
          <t>BR-03</t>
        </is>
      </c>
      <c r="C5" s="18" t="inlineStr">
        <is>
          <t>a refund issued in Stripe</t>
        </is>
      </c>
      <c r="D5" s="18" t="inlineStr">
        <is>
          <t>the webhook arrives</t>
        </is>
      </c>
      <c r="E5" s="18" t="inlineStr">
        <is>
          <t>the ticket is cancelled and the buyer is emailed</t>
        </is>
      </c>
      <c r="F5" s="18" t="inlineStr">
        <is>
          <t>Released</t>
        </is>
      </c>
    </row>
    <row r="6" ht="23.85" customHeight="1" s="10">
      <c r="A6" s="18" t="inlineStr">
        <is>
          <t>UAT-05</t>
        </is>
      </c>
      <c r="B6" s="18" t="inlineStr">
        <is>
          <t>BR-04</t>
        </is>
      </c>
      <c r="C6" s="18" t="inlineStr">
        <is>
          <t>door staff invited to event A</t>
        </is>
      </c>
      <c r="D6" s="18" t="inlineStr">
        <is>
          <t>they scan a ticket for event B</t>
        </is>
      </c>
      <c r="E6" s="18" t="inlineStr">
        <is>
          <t>the scan is refused</t>
        </is>
      </c>
      <c r="F6" s="18" t="inlineStr">
        <is>
          <t>Released</t>
        </is>
      </c>
    </row>
    <row r="7">
      <c r="A7" s="18" t="inlineStr">
        <is>
          <t>UAT-06</t>
        </is>
      </c>
      <c r="B7" s="18" t="inlineStr">
        <is>
          <t>BR-05</t>
        </is>
      </c>
      <c r="C7" s="18" t="inlineStr">
        <is>
          <t>an organiser swaps a sold ticket</t>
        </is>
      </c>
      <c r="D7" s="18" t="inlineStr">
        <is>
          <t>revenue is recalculated</t>
        </is>
      </c>
      <c r="E7" s="18" t="inlineStr">
        <is>
          <t>the total is unchanged and no new sale appears</t>
        </is>
      </c>
      <c r="F7" s="18" t="inlineStr">
        <is>
          <t>Released</t>
        </is>
      </c>
    </row>
    <row r="8">
      <c r="A8" s="18" t="inlineStr">
        <is>
          <t>UAT-07</t>
        </is>
      </c>
      <c r="B8" s="18" t="inlineStr">
        <is>
          <t>BR-06</t>
        </is>
      </c>
      <c r="C8" s="18" t="inlineStr">
        <is>
          <t>a chargeback on a completed order</t>
        </is>
      </c>
      <c r="D8" s="18" t="inlineStr">
        <is>
          <t>admin exports evidence</t>
        </is>
      </c>
      <c r="E8" s="18" t="inlineStr">
        <is>
          <t>the PDF shows consent time, reason code and prior orders</t>
        </is>
      </c>
      <c r="F8" s="18" t="inlineStr">
        <is>
          <t>Released</t>
        </is>
      </c>
    </row>
    <row r="9">
      <c r="A9" s="18" t="inlineStr">
        <is>
          <t>UAT-08</t>
        </is>
      </c>
      <c r="B9" s="18" t="inlineStr">
        <is>
          <t>BR-07</t>
        </is>
      </c>
      <c r="C9" s="18" t="inlineStr">
        <is>
          <t>a first-time visitor</t>
        </is>
      </c>
      <c r="D9" s="18" t="inlineStr">
        <is>
          <t>they have not accepted cookies</t>
        </is>
      </c>
      <c r="E9" s="18" t="inlineStr">
        <is>
          <t>no GA4, Meta or TikTok request is sent</t>
        </is>
      </c>
      <c r="F9" s="18" t="inlineStr">
        <is>
          <t>Released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9" min="1" max="2"/>
    <col width="26" customWidth="1" style="9" min="3" max="3"/>
    <col width="16" customWidth="1" style="9" min="4" max="4"/>
    <col width="22" customWidth="1" style="9" min="5" max="5"/>
    <col width="16" customWidth="1" style="9" min="6" max="6"/>
  </cols>
  <sheetData>
    <row r="1" ht="26.85" customHeight="1" s="10">
      <c r="A1" s="17" t="inlineStr">
        <is>
          <t>Requirement</t>
        </is>
      </c>
      <c r="B1" s="17" t="inlineStr">
        <is>
          <t>Objective ID</t>
        </is>
      </c>
      <c r="C1" s="17" t="inlineStr">
        <is>
          <t>Functional requirements</t>
        </is>
      </c>
      <c r="D1" s="17" t="inlineStr">
        <is>
          <t>User stories</t>
        </is>
      </c>
      <c r="E1" s="17" t="inlineStr">
        <is>
          <t>Test IDs</t>
        </is>
      </c>
      <c r="F1" s="17" t="inlineStr">
        <is>
          <t>Number of tests</t>
        </is>
      </c>
    </row>
    <row r="2" ht="15" customHeight="1" s="10">
      <c r="A2" s="18" t="inlineStr">
        <is>
          <t>BR-01</t>
        </is>
      </c>
      <c r="B2" s="18">
        <f>IFERROR(INDEX(Requirements!$D:$D,MATCH(A2,Requirements!$A:$A,0)),"")</f>
        <v/>
      </c>
      <c r="C2" s="18" t="inlineStr">
        <is>
          <t>FR-01, FR-02</t>
        </is>
      </c>
      <c r="D2" s="18" t="inlineStr">
        <is>
          <t>US-01</t>
        </is>
      </c>
      <c r="E2" s="18" t="inlineStr">
        <is>
          <t>UAT-01, UAT-02</t>
        </is>
      </c>
      <c r="F2" s="18">
        <f>COUNTIF(UAT!$B:$B,A2)</f>
        <v/>
      </c>
    </row>
    <row r="3" ht="15" customHeight="1" s="10">
      <c r="A3" s="18" t="inlineStr">
        <is>
          <t>BR-02</t>
        </is>
      </c>
      <c r="B3" s="18">
        <f>IFERROR(INDEX(Requirements!$D:$D,MATCH(A3,Requirements!$A:$A,0)),"")</f>
        <v/>
      </c>
      <c r="C3" s="18" t="inlineStr">
        <is>
          <t>FR-03, FR-04</t>
        </is>
      </c>
      <c r="D3" s="18" t="inlineStr">
        <is>
          <t>US-02</t>
        </is>
      </c>
      <c r="E3" s="18" t="inlineStr">
        <is>
          <t>UAT-03</t>
        </is>
      </c>
      <c r="F3" s="18">
        <f>COUNTIF(UAT!$B:$B,A3)</f>
        <v/>
      </c>
    </row>
    <row r="4" ht="15" customHeight="1" s="10">
      <c r="A4" s="18" t="inlineStr">
        <is>
          <t>BR-03</t>
        </is>
      </c>
      <c r="B4" s="18">
        <f>IFERROR(INDEX(Requirements!$D:$D,MATCH(A4,Requirements!$A:$A,0)),"")</f>
        <v/>
      </c>
      <c r="C4" s="18" t="inlineStr">
        <is>
          <t>FR-05</t>
        </is>
      </c>
      <c r="D4" s="18" t="inlineStr">
        <is>
          <t>None</t>
        </is>
      </c>
      <c r="E4" s="18" t="inlineStr">
        <is>
          <t>UAT-04</t>
        </is>
      </c>
      <c r="F4" s="18">
        <f>COUNTIF(UAT!$B:$B,A4)</f>
        <v/>
      </c>
    </row>
    <row r="5" ht="15" customHeight="1" s="10">
      <c r="A5" s="18" t="inlineStr">
        <is>
          <t>BR-04</t>
        </is>
      </c>
      <c r="B5" s="18">
        <f>IFERROR(INDEX(Requirements!$D:$D,MATCH(A5,Requirements!$A:$A,0)),"")</f>
        <v/>
      </c>
      <c r="C5" s="18" t="inlineStr">
        <is>
          <t>FR-06</t>
        </is>
      </c>
      <c r="D5" s="18" t="inlineStr">
        <is>
          <t>US-03</t>
        </is>
      </c>
      <c r="E5" s="18" t="inlineStr">
        <is>
          <t>UAT-05</t>
        </is>
      </c>
      <c r="F5" s="18">
        <f>COUNTIF(UAT!$B:$B,A5)</f>
        <v/>
      </c>
    </row>
    <row r="6" ht="15" customHeight="1" s="10">
      <c r="A6" s="18" t="inlineStr">
        <is>
          <t>BR-05</t>
        </is>
      </c>
      <c r="B6" s="18">
        <f>IFERROR(INDEX(Requirements!$D:$D,MATCH(A6,Requirements!$A:$A,0)),"")</f>
        <v/>
      </c>
      <c r="C6" s="18" t="inlineStr">
        <is>
          <t>FR-07</t>
        </is>
      </c>
      <c r="D6" s="18" t="inlineStr">
        <is>
          <t>None</t>
        </is>
      </c>
      <c r="E6" s="18" t="inlineStr">
        <is>
          <t>UAT-06</t>
        </is>
      </c>
      <c r="F6" s="18">
        <f>COUNTIF(UAT!$B:$B,A6)</f>
        <v/>
      </c>
    </row>
    <row r="7">
      <c r="A7" s="18" t="inlineStr">
        <is>
          <t>BR-06</t>
        </is>
      </c>
      <c r="B7" s="18">
        <f>IFERROR(INDEX(Requirements!$D:$D,MATCH(A7,Requirements!$A:$A,0)),"")</f>
        <v/>
      </c>
      <c r="C7" s="18" t="inlineStr">
        <is>
          <t>FR-08</t>
        </is>
      </c>
      <c r="D7" s="18" t="inlineStr">
        <is>
          <t>None</t>
        </is>
      </c>
      <c r="E7" s="18" t="inlineStr">
        <is>
          <t>UAT-07</t>
        </is>
      </c>
      <c r="F7" s="18">
        <f>COUNTIF(UAT!$B:$B,A7)</f>
        <v/>
      </c>
    </row>
    <row r="8">
      <c r="A8" s="18" t="inlineStr">
        <is>
          <t>BR-07</t>
        </is>
      </c>
      <c r="B8" s="18">
        <f>IFERROR(INDEX(Requirements!$D:$D,MATCH(A8,Requirements!$A:$A,0)),"")</f>
        <v/>
      </c>
      <c r="C8" s="18" t="inlineStr">
        <is>
          <t>FR-09</t>
        </is>
      </c>
      <c r="D8" s="18" t="inlineStr">
        <is>
          <t>None</t>
        </is>
      </c>
      <c r="E8" s="18" t="inlineStr">
        <is>
          <t>UAT-08</t>
        </is>
      </c>
      <c r="F8" s="18">
        <f>COUNTIF(UAT!$B:$B,A8)</f>
        <v/>
      </c>
    </row>
    <row r="9">
      <c r="A9" s="18" t="inlineStr">
        <is>
          <t>BR-08</t>
        </is>
      </c>
      <c r="B9" s="18">
        <f>IFERROR(INDEX(Requirements!$D:$D,MATCH(A9,Requirements!$A:$A,0)),"")</f>
        <v/>
      </c>
      <c r="C9" s="18" t="inlineStr">
        <is>
          <t>FR-10</t>
        </is>
      </c>
      <c r="D9" s="18" t="inlineStr">
        <is>
          <t>None</t>
        </is>
      </c>
      <c r="E9" s="18" t="inlineStr">
        <is>
          <t>None</t>
        </is>
      </c>
      <c r="F9" s="18">
        <f>COUNTIF(UAT!$B:$B,A9)</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9" min="1" max="1"/>
    <col width="12" customWidth="1" style="9" min="2" max="2"/>
    <col width="38" customWidth="1" style="9" min="3" max="3"/>
    <col width="45" customWidth="1" style="9" min="4" max="4"/>
  </cols>
  <sheetData>
    <row r="1" ht="15" customHeight="1" s="10">
      <c r="A1" s="17" t="inlineStr">
        <is>
          <t>Field</t>
        </is>
      </c>
      <c r="B1" s="17" t="inlineStr">
        <is>
          <t>Type</t>
        </is>
      </c>
      <c r="C1" s="17" t="inlineStr">
        <is>
          <t>Definition</t>
        </is>
      </c>
      <c r="D1" s="17" t="inlineStr">
        <is>
          <t>Allowed values</t>
        </is>
      </c>
    </row>
    <row r="2" ht="15" customHeight="1" s="10">
      <c r="A2" s="18" t="inlineStr">
        <is>
          <t>order_id</t>
        </is>
      </c>
      <c r="B2" s="18" t="inlineStr">
        <is>
          <t>Text</t>
        </is>
      </c>
      <c r="C2" s="18" t="inlineStr">
        <is>
          <t>Unique ticket purchase</t>
        </is>
      </c>
      <c r="D2" s="18" t="inlineStr">
        <is>
          <t>Gateway reference plus internal ID</t>
        </is>
      </c>
    </row>
    <row r="3" ht="15" customHeight="1" s="10">
      <c r="A3" s="18" t="inlineStr">
        <is>
          <t>payment_status</t>
        </is>
      </c>
      <c r="B3" s="18" t="inlineStr">
        <is>
          <t>Category</t>
        </is>
      </c>
      <c r="C3" s="18" t="inlineStr">
        <is>
          <t>State of the purchase</t>
        </is>
      </c>
      <c r="D3" s="18" t="inlineStr">
        <is>
          <t>Pending, Completed, Failed, Refunded</t>
        </is>
      </c>
    </row>
    <row r="4" ht="15" customHeight="1" s="10">
      <c r="A4" s="18" t="inlineStr">
        <is>
          <t>currency</t>
        </is>
      </c>
      <c r="B4" s="18" t="inlineStr">
        <is>
          <t>Category</t>
        </is>
      </c>
      <c r="C4" s="18" t="inlineStr">
        <is>
          <t>Currency of the event and sale</t>
        </is>
      </c>
      <c r="D4" s="18" t="inlineStr">
        <is>
          <t>NGN, GBP, USD, EUR and others enabled</t>
        </is>
      </c>
    </row>
    <row r="5" ht="15" customHeight="1" s="10">
      <c r="A5" s="18" t="inlineStr">
        <is>
          <t>ticket_status</t>
        </is>
      </c>
      <c r="B5" s="18" t="inlineStr">
        <is>
          <t>Category</t>
        </is>
      </c>
      <c r="C5" s="18" t="inlineStr">
        <is>
          <t>State of an issued ticket</t>
        </is>
      </c>
      <c r="D5" s="18" t="inlineStr">
        <is>
          <t>Active, Transferred, Cancelled, Scanned</t>
        </is>
      </c>
    </row>
    <row r="6" ht="15" customHeight="1" s="10">
      <c r="A6" s="18" t="inlineStr">
        <is>
          <t>team_role</t>
        </is>
      </c>
      <c r="B6" s="18" t="inlineStr">
        <is>
          <t>Category</t>
        </is>
      </c>
      <c r="C6" s="18" t="inlineStr">
        <is>
          <t>Access granted to a team member</t>
        </is>
      </c>
      <c r="D6" s="18" t="inlineStr">
        <is>
          <t>door_staff, viewer, manager</t>
        </is>
      </c>
    </row>
    <row r="7" ht="15" customHeight="1" s="10">
      <c r="A7" s="18" t="inlineStr">
        <is>
          <t>tos_accepted_at</t>
        </is>
      </c>
      <c r="B7" s="18" t="inlineStr">
        <is>
          <t>Datetime</t>
        </is>
      </c>
      <c r="C7" s="18" t="inlineStr">
        <is>
          <t>When the buyer accepted the terms</t>
        </is>
      </c>
      <c r="D7" s="18" t="inlineStr">
        <is>
          <t>ISO 8601</t>
        </is>
      </c>
    </row>
    <row r="8">
      <c r="A8" s="18" t="inlineStr">
        <is>
          <t>scan_result</t>
        </is>
      </c>
      <c r="B8" s="18" t="inlineStr">
        <is>
          <t>Category</t>
        </is>
      </c>
      <c r="C8" s="18" t="inlineStr">
        <is>
          <t>Outcome of a scan</t>
        </is>
      </c>
      <c r="D8" s="18" t="inlineStr">
        <is>
          <t>Admitted, Duplicate, Invalid, Not your event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2026-09-25T01:59:52Z</dcterms:created>
  <dcterms:modified xmlns:dcterms="http://purl.org/dc/terms/" xmlns:xsi="http://www.w3.org/2001/XMLSchema-instance" xsi:type="dcterms:W3CDTF">2026-09-25T02:53:07Z</dcterms:modified>
  <cp:revision>0</cp:revision>
</cp:coreProperties>
</file>