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ser Stories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UAT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ata Diction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53D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4748B"/>
      <sz val="11"/>
    </font>
  </fonts>
  <fills count="3">
    <fill>
      <patternFill/>
    </fill>
    <fill>
      <patternFill patternType="gray125"/>
    </fill>
    <fill>
      <patternFill patternType="solid">
        <fgColor rgb="FF15253D"/>
        <bgColor rgb="FF003366"/>
      </patternFill>
    </fill>
  </fills>
  <borders count="2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0" customWidth="1" style="9" min="2" max="2"/>
    <col width="16" customWidth="1" style="9" min="3" max="3"/>
  </cols>
  <sheetData>
    <row r="1" ht="17.35" customHeight="1" s="10">
      <c r="A1" s="11" t="inlineStr">
        <is>
          <t>Verdaso ESG Evidence Infrastructure</t>
        </is>
      </c>
    </row>
    <row r="2"/>
    <row r="3" ht="15" customHeight="1" s="10">
      <c r="A3" s="12" t="inlineStr">
        <is>
          <t>Status</t>
        </is>
      </c>
      <c r="B3" s="13" t="inlineStr">
        <is>
          <t>Concept / MVP design</t>
        </is>
      </c>
    </row>
    <row r="4" ht="15" customHeight="1" s="10">
      <c r="A4" s="12" t="inlineStr">
        <is>
          <t>Domain</t>
        </is>
      </c>
      <c r="B4" s="13" t="inlineStr">
        <is>
          <t>ESG, compliance and sustainability technology</t>
        </is>
      </c>
    </row>
    <row r="5" ht="15" customHeight="1" s="10">
      <c r="A5" s="12" t="inlineStr">
        <is>
          <t>Role</t>
        </is>
      </c>
      <c r="B5" s="13" t="inlineStr">
        <is>
          <t>Product Business Analyst</t>
        </is>
      </c>
    </row>
    <row r="6" ht="23.85" customHeight="1" s="10">
      <c r="A6" s="12" t="inlineStr">
        <is>
          <t>Business problem</t>
        </is>
      </c>
      <c r="B6" s="13" t="inlineStr">
        <is>
          <t>SMEs hold ESG evidence in photos, PDFs and spreadsheets without source context, so reports are slow to assemble and hard for auditors to trust.</t>
        </is>
      </c>
    </row>
    <row r="7"/>
    <row r="8"/>
    <row r="9" ht="15" customHeight="1" s="10">
      <c r="A9" s="14" t="inlineStr">
        <is>
          <t>Measure</t>
        </is>
      </c>
      <c r="B9" s="14" t="inlineStr">
        <is>
          <t>Value</t>
        </is>
      </c>
      <c r="C9" s="14" t="inlineStr">
        <is>
          <t>Source</t>
        </is>
      </c>
    </row>
    <row r="10" ht="15" customHeight="1" s="10">
      <c r="A10" s="15" t="inlineStr">
        <is>
          <t>Business requirements</t>
        </is>
      </c>
      <c r="B10" s="15">
        <f>COUNTA(Requirements!A2:A200)</f>
        <v/>
      </c>
      <c r="C10" s="15" t="inlineStr">
        <is>
          <t>Requirements</t>
        </is>
      </c>
    </row>
    <row r="11" ht="15" customHeight="1" s="10">
      <c r="A11" s="15" t="inlineStr">
        <is>
          <t>Must requirements</t>
        </is>
      </c>
      <c r="B11" s="15">
        <f>COUNTIF(Requirements!C2:C200,"Must")</f>
        <v/>
      </c>
      <c r="C11" s="15" t="inlineStr">
        <is>
          <t>Requirements</t>
        </is>
      </c>
    </row>
    <row r="12" ht="15" customHeight="1" s="10">
      <c r="A12" s="15" t="inlineStr">
        <is>
          <t>Should requirements</t>
        </is>
      </c>
      <c r="B12" s="15">
        <f>COUNTIF(Requirements!C2:C200,"Should")</f>
        <v/>
      </c>
      <c r="C12" s="15" t="inlineStr">
        <is>
          <t>Requirements</t>
        </is>
      </c>
    </row>
    <row r="13" ht="15" customHeight="1" s="10">
      <c r="A13" s="15" t="inlineStr">
        <is>
          <t>Functional requirements</t>
        </is>
      </c>
      <c r="B13" s="15">
        <f>COUNTA(Functional!A2:A200)</f>
        <v/>
      </c>
      <c r="C13" s="15" t="inlineStr">
        <is>
          <t>Functional</t>
        </is>
      </c>
    </row>
    <row r="14" ht="15" customHeight="1" s="10">
      <c r="A14" s="15" t="inlineStr">
        <is>
          <t>Requirements with a test</t>
        </is>
      </c>
      <c r="B14" s="15">
        <f>COUNTIF(Traceability!F2:F200,"&gt;0")</f>
        <v/>
      </c>
      <c r="C14" s="15" t="inlineStr">
        <is>
          <t>Traceability</t>
        </is>
      </c>
    </row>
    <row r="15" ht="15" customHeight="1" s="10">
      <c r="A15" s="15" t="inlineStr">
        <is>
          <t>Tests with status "Planned"</t>
        </is>
      </c>
      <c r="B15" s="15">
        <f>COUNTIF(UAT!F2:F200,"Planned")</f>
        <v/>
      </c>
      <c r="C15" s="15" t="inlineStr">
        <is>
          <t>UAT</t>
        </is>
      </c>
    </row>
    <row r="16" ht="15" customHeight="1" s="10">
      <c r="A16" s="15" t="inlineStr">
        <is>
          <t>High risks</t>
        </is>
      </c>
      <c r="B16" s="15">
        <f>COUNTIF(RAID!C2:C200,"High")</f>
        <v/>
      </c>
      <c r="C16" s="15" t="inlineStr">
        <is>
          <t>RAID</t>
        </is>
      </c>
    </row>
    <row r="17" ht="15" customHeight="1" s="10">
      <c r="A17" s="15" t="inlineStr">
        <is>
          <t>Stakeholder groups</t>
        </is>
      </c>
      <c r="B17" s="15">
        <f>COUNTA(Stakeholders!A2:A200)</f>
        <v/>
      </c>
      <c r="C17" s="15" t="inlineStr">
        <is>
          <t>Stakeholders</t>
        </is>
      </c>
    </row>
    <row r="18"/>
    <row r="19" ht="15" customHeight="1" s="10">
      <c r="A19" s="16" t="inlineStr">
        <is>
          <t>Counts are formulas and update when rows are added. Status values are recorded on the UAT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70" customWidth="1" style="9" min="2" max="2"/>
  </cols>
  <sheetData>
    <row r="1" ht="15" customHeight="1" s="10">
      <c r="A1" s="17" t="inlineStr">
        <is>
          <t>Objective ID</t>
        </is>
      </c>
      <c r="B1" s="17" t="inlineStr">
        <is>
          <t>Objective</t>
        </is>
      </c>
    </row>
    <row r="2" ht="15" customHeight="1" s="10">
      <c r="A2" s="18" t="inlineStr">
        <is>
          <t>OBJ-01</t>
        </is>
      </c>
      <c r="B2" s="18" t="inlineStr">
        <is>
          <t>Capture source evidence with metadata</t>
        </is>
      </c>
    </row>
    <row r="3" ht="15" customHeight="1" s="10">
      <c r="A3" s="18" t="inlineStr">
        <is>
          <t>OBJ-02</t>
        </is>
      </c>
      <c r="B3" s="18" t="inlineStr">
        <is>
          <t>Keep a human validation step before approval</t>
        </is>
      </c>
    </row>
    <row r="4" ht="15" customHeight="1" s="10">
      <c r="A4" s="18" t="inlineStr">
        <is>
          <t>OBJ-03</t>
        </is>
      </c>
      <c r="B4" s="18" t="inlineStr">
        <is>
          <t>Maintain controlled, auditable records</t>
        </is>
      </c>
    </row>
    <row r="5" ht="15" customHeight="1" s="10">
      <c r="A5" s="18" t="inlineStr">
        <is>
          <t>OBJ-04</t>
        </is>
      </c>
      <c r="B5" s="18" t="inlineStr">
        <is>
          <t>Generate framework-aligned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55" customWidth="1" style="9" min="2" max="2"/>
    <col width="10" customWidth="1" style="9" min="3" max="3"/>
    <col width="13" customWidth="1" style="9" min="4" max="4"/>
    <col width="40" customWidth="1" style="9" min="5" max="5"/>
    <col width="55" customWidth="1" style="9" min="6" max="6"/>
  </cols>
  <sheetData>
    <row r="1" ht="15" customHeight="1" s="10">
      <c r="A1" s="17" t="inlineStr">
        <is>
          <t>ID</t>
        </is>
      </c>
      <c r="B1" s="17" t="inlineStr">
        <is>
          <t>Requirement</t>
        </is>
      </c>
      <c r="C1" s="17" t="inlineStr">
        <is>
          <t>Priority</t>
        </is>
      </c>
      <c r="D1" s="17" t="inlineStr">
        <is>
          <t>Objective ID</t>
        </is>
      </c>
      <c r="E1" s="17" t="inlineStr">
        <is>
          <t>Objective</t>
        </is>
      </c>
      <c r="F1" s="17" t="inlineStr">
        <is>
          <t>Acceptance criterion</t>
        </is>
      </c>
    </row>
    <row r="2" ht="15" customHeight="1" s="10">
      <c r="A2" s="18" t="inlineStr">
        <is>
          <t>BR-01</t>
        </is>
      </c>
      <c r="B2" s="18" t="inlineStr">
        <is>
          <t>Evidence retains source and capture metadata</t>
        </is>
      </c>
      <c r="C2" s="18" t="inlineStr">
        <is>
          <t>Must</t>
        </is>
      </c>
      <c r="D2" s="18" t="inlineStr">
        <is>
          <t>OBJ-01</t>
        </is>
      </c>
      <c r="E2" s="18">
        <f>IFERROR(INDEX(Objectives!$B:$B,MATCH(D2,Objectives!$A:$A,0)),"Check objective ID")</f>
        <v/>
      </c>
      <c r="F2" s="18" t="inlineStr">
        <is>
          <t>Every record links to its original source</t>
        </is>
      </c>
    </row>
    <row r="3" ht="15" customHeight="1" s="10">
      <c r="A3" s="18" t="inlineStr">
        <is>
          <t>BR-02</t>
        </is>
      </c>
      <c r="B3" s="18" t="inlineStr">
        <is>
          <t>AI extraction is reviewed before approval</t>
        </is>
      </c>
      <c r="C3" s="18" t="inlineStr">
        <is>
          <t>Must</t>
        </is>
      </c>
      <c r="D3" s="18" t="inlineStr">
        <is>
          <t>OBJ-02</t>
        </is>
      </c>
      <c r="E3" s="18">
        <f>IFERROR(INDEX(Objectives!$B:$B,MATCH(D3,Objectives!$A:$A,0)),"Check objective ID")</f>
        <v/>
      </c>
      <c r="F3" s="18" t="inlineStr">
        <is>
          <t>Unvalidated content is clearly labelled</t>
        </is>
      </c>
    </row>
    <row r="4" ht="15" customHeight="1" s="10">
      <c r="A4" s="18" t="inlineStr">
        <is>
          <t>BR-03</t>
        </is>
      </c>
      <c r="B4" s="18" t="inlineStr">
        <is>
          <t>Corrections preserve audit history</t>
        </is>
      </c>
      <c r="C4" s="18" t="inlineStr">
        <is>
          <t>Must</t>
        </is>
      </c>
      <c r="D4" s="18" t="inlineStr">
        <is>
          <t>OBJ-03</t>
        </is>
      </c>
      <c r="E4" s="18">
        <f>IFERROR(INDEX(Objectives!$B:$B,MATCH(D4,Objectives!$A:$A,0)),"Check objective ID")</f>
        <v/>
      </c>
      <c r="F4" s="18" t="inlineStr">
        <is>
          <t>Prior and current values remain traceable</t>
        </is>
      </c>
    </row>
    <row r="5" ht="15" customHeight="1" s="10">
      <c r="A5" s="18" t="inlineStr">
        <is>
          <t>BR-04</t>
        </is>
      </c>
      <c r="B5" s="18" t="inlineStr">
        <is>
          <t>Views follow stakeholder permissions</t>
        </is>
      </c>
      <c r="C5" s="18" t="inlineStr">
        <is>
          <t>Must</t>
        </is>
      </c>
      <c r="D5" s="18" t="inlineStr">
        <is>
          <t>OBJ-03</t>
        </is>
      </c>
      <c r="E5" s="18">
        <f>IFERROR(INDEX(Objectives!$B:$B,MATCH(D5,Objectives!$A:$A,0)),"Check objective ID")</f>
        <v/>
      </c>
      <c r="F5" s="18" t="inlineStr">
        <is>
          <t>Unauthorised evidence is never displayed</t>
        </is>
      </c>
    </row>
    <row r="6" ht="15" customHeight="1" s="10">
      <c r="A6" s="18" t="inlineStr">
        <is>
          <t>BR-05</t>
        </is>
      </c>
      <c r="B6" s="18" t="inlineStr">
        <is>
          <t>Reports identify framework and version</t>
        </is>
      </c>
      <c r="C6" s="18" t="inlineStr">
        <is>
          <t>Should</t>
        </is>
      </c>
      <c r="D6" s="18" t="inlineStr">
        <is>
          <t>OBJ-04</t>
        </is>
      </c>
      <c r="E6" s="18">
        <f>IFERROR(INDEX(Objectives!$B:$B,MATCH(D6,Objectives!$A:$A,0)),"Check objective ID")</f>
        <v/>
      </c>
      <c r="F6" s="18" t="inlineStr">
        <is>
          <t>Output records framework name and version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1" customWidth="1" style="9" min="2" max="2"/>
    <col width="60" customWidth="1" style="9" min="3" max="3"/>
    <col width="55" customWidth="1" style="9" min="4" max="4"/>
  </cols>
  <sheetData>
    <row r="1" ht="1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System behaviour</t>
        </is>
      </c>
      <c r="D1" s="17" t="inlineStr">
        <is>
          <t>Business rule or validation</t>
        </is>
      </c>
    </row>
    <row r="2" ht="15" customHeight="1" s="10">
      <c r="A2" s="18" t="inlineStr">
        <is>
          <t>FR-01</t>
        </is>
      </c>
      <c r="B2" s="18" t="inlineStr">
        <is>
          <t>BR-01</t>
        </is>
      </c>
      <c r="C2" s="18" t="inlineStr">
        <is>
          <t>Capture stores file hash, timestamp and permitted location</t>
        </is>
      </c>
      <c r="D2" s="18" t="inlineStr">
        <is>
          <t>Location precision follows the organisation setting</t>
        </is>
      </c>
    </row>
    <row r="3" ht="15" customHeight="1" s="10">
      <c r="A3" s="18" t="inlineStr">
        <is>
          <t>FR-02</t>
        </is>
      </c>
      <c r="B3" s="18" t="inlineStr">
        <is>
          <t>BR-02</t>
        </is>
      </c>
      <c r="C3" s="18" t="inlineStr">
        <is>
          <t>Extracted fields default to Draft until a reviewer approves</t>
        </is>
      </c>
      <c r="D3" s="18" t="inlineStr">
        <is>
          <t>Draft values cannot appear in reports</t>
        </is>
      </c>
    </row>
    <row r="4" ht="15" customHeight="1" s="10">
      <c r="A4" s="18" t="inlineStr">
        <is>
          <t>FR-03</t>
        </is>
      </c>
      <c r="B4" s="18" t="inlineStr">
        <is>
          <t>BR-03</t>
        </is>
      </c>
      <c r="C4" s="18" t="inlineStr">
        <is>
          <t>Corrections append a new version with reason</t>
        </is>
      </c>
      <c r="D4" s="18" t="inlineStr">
        <is>
          <t>Original values are never overwritten</t>
        </is>
      </c>
    </row>
    <row r="5" ht="15" customHeight="1" s="10">
      <c r="A5" s="18" t="inlineStr">
        <is>
          <t>FR-04</t>
        </is>
      </c>
      <c r="B5" s="18" t="inlineStr">
        <is>
          <t>BR-04</t>
        </is>
      </c>
      <c r="C5" s="18" t="inlineStr">
        <is>
          <t>Role-based views for SME, auditor and investor</t>
        </is>
      </c>
      <c r="D5" s="18" t="inlineStr">
        <is>
          <t>Investor view shows approved summary only</t>
        </is>
      </c>
    </row>
    <row r="6" ht="15" customHeight="1" s="10">
      <c r="A6" s="18" t="inlineStr">
        <is>
          <t>FR-05</t>
        </is>
      </c>
      <c r="B6" s="18" t="inlineStr">
        <is>
          <t>BR-05</t>
        </is>
      </c>
      <c r="C6" s="18" t="inlineStr">
        <is>
          <t>Framework mapping tables are effective-dated</t>
        </is>
      </c>
      <c r="D6" s="18" t="inlineStr">
        <is>
          <t>Reports print framework and mapping version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0" customWidth="1" style="9" min="2" max="2"/>
    <col width="22" customWidth="1" style="9" min="3" max="3"/>
    <col width="35" customWidth="1" style="9" min="4" max="5"/>
    <col width="30" customWidth="1" style="9" min="6" max="6"/>
    <col width="28" customWidth="1" style="9" min="7" max="7"/>
    <col width="40" customWidth="1" style="9" min="8" max="8"/>
  </cols>
  <sheetData>
    <row r="1" ht="26.8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As a</t>
        </is>
      </c>
      <c r="D1" s="17" t="inlineStr">
        <is>
          <t>I want</t>
        </is>
      </c>
      <c r="E1" s="17" t="inlineStr">
        <is>
          <t>So that</t>
        </is>
      </c>
      <c r="F1" s="17" t="inlineStr">
        <is>
          <t>Given</t>
        </is>
      </c>
      <c r="G1" s="17" t="inlineStr">
        <is>
          <t>When</t>
        </is>
      </c>
      <c r="H1" s="17" t="inlineStr">
        <is>
          <t>Then</t>
        </is>
      </c>
    </row>
    <row r="2" ht="23.85" customHeight="1" s="10">
      <c r="A2" s="18" t="inlineStr">
        <is>
          <t>US-01</t>
        </is>
      </c>
      <c r="B2" s="18" t="inlineStr">
        <is>
          <t>BR-02</t>
        </is>
      </c>
      <c r="C2" s="18" t="inlineStr">
        <is>
          <t>reviewer</t>
        </is>
      </c>
      <c r="D2" s="18" t="inlineStr">
        <is>
          <t>to approve extracted values before they count</t>
        </is>
      </c>
      <c r="E2" s="18" t="inlineStr">
        <is>
          <t>AI mistakes never reach a report</t>
        </is>
      </c>
      <c r="F2" s="18" t="inlineStr">
        <is>
          <t>a document has been extracted</t>
        </is>
      </c>
      <c r="G2" s="18" t="inlineStr">
        <is>
          <t>I approve the values</t>
        </is>
      </c>
      <c r="H2" s="18" t="inlineStr">
        <is>
          <t>they become part of the versioned record</t>
        </is>
      </c>
    </row>
    <row r="3" ht="23.85" customHeight="1" s="10">
      <c r="A3" s="18" t="inlineStr">
        <is>
          <t>US-02</t>
        </is>
      </c>
      <c r="B3" s="18" t="inlineStr">
        <is>
          <t>BR-01</t>
        </is>
      </c>
      <c r="C3" s="18" t="inlineStr">
        <is>
          <t>auditor</t>
        </is>
      </c>
      <c r="D3" s="18" t="inlineStr">
        <is>
          <t>to trace any figure back to its source</t>
        </is>
      </c>
      <c r="E3" s="18" t="inlineStr">
        <is>
          <t>I can test the evidence</t>
        </is>
      </c>
      <c r="F3" s="18" t="inlineStr">
        <is>
          <t>a report figure</t>
        </is>
      </c>
      <c r="G3" s="18" t="inlineStr">
        <is>
          <t>I click it</t>
        </is>
      </c>
      <c r="H3" s="18" t="inlineStr">
        <is>
          <t>the original file, capture time and approver are shown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1" customWidth="1" style="9" min="2" max="2"/>
    <col width="10" customWidth="1" style="9" min="3" max="3"/>
    <col width="32" customWidth="1" style="9" min="4" max="6"/>
    <col width="22" customWidth="1" style="9" min="7" max="7"/>
    <col width="16" customWidth="1" style="9" min="8" max="8"/>
  </cols>
  <sheetData>
    <row r="1" ht="15" customHeight="1" s="10">
      <c r="A1" s="17" t="inlineStr">
        <is>
          <t>Stakeholder</t>
        </is>
      </c>
      <c r="B1" s="17" t="inlineStr">
        <is>
          <t>Influence</t>
        </is>
      </c>
      <c r="C1" s="17" t="inlineStr">
        <is>
          <t>Interest</t>
        </is>
      </c>
      <c r="D1" s="17" t="inlineStr">
        <is>
          <t>Primary interest</t>
        </is>
      </c>
      <c r="E1" s="17" t="inlineStr">
        <is>
          <t>Information need</t>
        </is>
      </c>
      <c r="F1" s="17" t="inlineStr">
        <is>
          <t>Method</t>
        </is>
      </c>
      <c r="G1" s="17" t="inlineStr">
        <is>
          <t>Cadence</t>
        </is>
      </c>
      <c r="H1" s="17" t="inlineStr">
        <is>
          <t>Approach</t>
        </is>
      </c>
    </row>
    <row r="2" ht="15" customHeight="1" s="10">
      <c r="A2" s="18" t="inlineStr">
        <is>
          <t>SME operators</t>
        </is>
      </c>
      <c r="B2" s="18" t="inlineStr">
        <is>
          <t>Medium</t>
        </is>
      </c>
      <c r="C2" s="18" t="inlineStr">
        <is>
          <t>High</t>
        </is>
      </c>
      <c r="D2" s="18" t="inlineStr">
        <is>
          <t>Simple evidence capture</t>
        </is>
      </c>
      <c r="E2" s="18" t="inlineStr">
        <is>
          <t>What to capture and when</t>
        </is>
      </c>
      <c r="F2" s="18" t="inlineStr">
        <is>
          <t>In-app checklist</t>
        </is>
      </c>
      <c r="G2" s="18" t="inlineStr">
        <is>
          <t>Per reporting period</t>
        </is>
      </c>
      <c r="H2" s="18" t="inlineStr">
        <is>
          <t>Keep informed</t>
        </is>
      </c>
    </row>
    <row r="3" ht="15" customHeight="1" s="10">
      <c r="A3" s="18" t="inlineStr">
        <is>
          <t>Auditors</t>
        </is>
      </c>
      <c r="B3" s="18" t="inlineStr">
        <is>
          <t>High</t>
        </is>
      </c>
      <c r="C3" s="18" t="inlineStr">
        <is>
          <t>High</t>
        </is>
      </c>
      <c r="D3" s="18" t="inlineStr">
        <is>
          <t>Traceability and validation</t>
        </is>
      </c>
      <c r="E3" s="18" t="inlineStr">
        <is>
          <t>Source links, approval trail</t>
        </is>
      </c>
      <c r="F3" s="18" t="inlineStr">
        <is>
          <t>Auditor walkthrough</t>
        </is>
      </c>
      <c r="G3" s="18" t="inlineStr">
        <is>
          <t>At audit</t>
        </is>
      </c>
      <c r="H3" s="18" t="inlineStr">
        <is>
          <t>Manage closely</t>
        </is>
      </c>
    </row>
    <row r="4" ht="15" customHeight="1" s="10">
      <c r="A4" s="18" t="inlineStr">
        <is>
          <t>Investors and buyers</t>
        </is>
      </c>
      <c r="B4" s="18" t="inlineStr">
        <is>
          <t>Medium</t>
        </is>
      </c>
      <c r="C4" s="18" t="inlineStr">
        <is>
          <t>Medium</t>
        </is>
      </c>
      <c r="D4" s="18" t="inlineStr">
        <is>
          <t>Reliable authorised evidence</t>
        </is>
      </c>
      <c r="E4" s="18" t="inlineStr">
        <is>
          <t>Approved summaries</t>
        </is>
      </c>
      <c r="F4" s="18" t="inlineStr">
        <is>
          <t>Shared report view</t>
        </is>
      </c>
      <c r="G4" s="18" t="inlineStr">
        <is>
          <t>Quarterly</t>
        </is>
      </c>
      <c r="H4" s="18" t="inlineStr">
        <is>
          <t>Monitor</t>
        </is>
      </c>
    </row>
    <row r="5" ht="15" customHeight="1" s="10">
      <c r="A5" s="18" t="inlineStr">
        <is>
          <t>Framework specialists</t>
        </is>
      </c>
      <c r="B5" s="18" t="inlineStr">
        <is>
          <t>High</t>
        </is>
      </c>
      <c r="C5" s="18" t="inlineStr">
        <is>
          <t>Medium</t>
        </is>
      </c>
      <c r="D5" s="18" t="inlineStr">
        <is>
          <t>Correct mappings</t>
        </is>
      </c>
      <c r="E5" s="18" t="inlineStr">
        <is>
          <t>Framework changes</t>
        </is>
      </c>
      <c r="F5" s="18" t="inlineStr">
        <is>
          <t>Mapping review</t>
        </is>
      </c>
      <c r="G5" s="18" t="inlineStr">
        <is>
          <t>On framework update</t>
        </is>
      </c>
      <c r="H5" s="18" t="inlineStr">
        <is>
          <t>Keep satisfied</t>
        </is>
      </c>
    </row>
    <row r="6" ht="15" customHeight="1" s="10">
      <c r="A6" s="18" t="inlineStr">
        <is>
          <t>Data protection and security</t>
        </is>
      </c>
      <c r="B6" s="18" t="inlineStr">
        <is>
          <t>High</t>
        </is>
      </c>
      <c r="C6" s="18" t="inlineStr">
        <is>
          <t>Medium</t>
        </is>
      </c>
      <c r="D6" s="18" t="inlineStr">
        <is>
          <t>Location and document controls</t>
        </is>
      </c>
      <c r="E6" s="18" t="inlineStr">
        <is>
          <t>Data flows, retention</t>
        </is>
      </c>
      <c r="F6" s="18" t="inlineStr">
        <is>
          <t>DPIA review</t>
        </is>
      </c>
      <c r="G6" s="18" t="inlineStr">
        <is>
          <t>Before launch</t>
        </is>
      </c>
      <c r="H6" s="18" t="inlineStr">
        <is>
          <t>Keep satisfied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2" customWidth="1" style="9" min="2" max="2"/>
    <col width="10" customWidth="1" style="9" min="3" max="3"/>
    <col width="42" customWidth="1" style="9" min="4" max="4"/>
    <col width="22" customWidth="1" style="9" min="5" max="5"/>
  </cols>
  <sheetData>
    <row r="1" ht="15" customHeight="1" s="10">
      <c r="A1" s="17" t="inlineStr">
        <is>
          <t>ID</t>
        </is>
      </c>
      <c r="B1" s="17" t="inlineStr">
        <is>
          <t>Risk</t>
        </is>
      </c>
      <c r="C1" s="17" t="inlineStr">
        <is>
          <t>Severity</t>
        </is>
      </c>
      <c r="D1" s="17" t="inlineStr">
        <is>
          <t>Response</t>
        </is>
      </c>
      <c r="E1" s="17" t="inlineStr">
        <is>
          <t>Owner</t>
        </is>
      </c>
    </row>
    <row r="2" ht="15" customHeight="1" s="10">
      <c r="A2" s="18" t="inlineStr">
        <is>
          <t>R-01</t>
        </is>
      </c>
      <c r="B2" s="18" t="inlineStr">
        <is>
          <t>AI misclassifies evidence</t>
        </is>
      </c>
      <c r="C2" s="18" t="inlineStr">
        <is>
          <t>High</t>
        </is>
      </c>
      <c r="D2" s="18" t="inlineStr">
        <is>
          <t>Mandatory human validation</t>
        </is>
      </c>
      <c r="E2" s="18" t="inlineStr">
        <is>
          <t>Product owner</t>
        </is>
      </c>
    </row>
    <row r="3" ht="15" customHeight="1" s="10">
      <c r="A3" s="18" t="inlineStr">
        <is>
          <t>R-02</t>
        </is>
      </c>
      <c r="B3" s="18" t="inlineStr">
        <is>
          <t>Location data creates privacy risk</t>
        </is>
      </c>
      <c r="C3" s="18" t="inlineStr">
        <is>
          <t>High</t>
        </is>
      </c>
      <c r="D3" s="18" t="inlineStr">
        <is>
          <t>Purpose limitation and precision control</t>
        </is>
      </c>
      <c r="E3" s="18" t="inlineStr">
        <is>
          <t>Data protection lead</t>
        </is>
      </c>
    </row>
    <row r="4" ht="15" customHeight="1" s="10">
      <c r="A4" s="18" t="inlineStr">
        <is>
          <t>R-03</t>
        </is>
      </c>
      <c r="B4" s="18" t="inlineStr">
        <is>
          <t>Immutable record blocks lawful correction</t>
        </is>
      </c>
      <c r="C4" s="18" t="inlineStr">
        <is>
          <t>High</t>
        </is>
      </c>
      <c r="D4" s="18" t="inlineStr">
        <is>
          <t>Append-only correction model</t>
        </is>
      </c>
      <c r="E4" s="18" t="inlineStr">
        <is>
          <t>Product owner</t>
        </is>
      </c>
    </row>
    <row r="5" ht="15" customHeight="1" s="10">
      <c r="A5" s="18" t="inlineStr">
        <is>
          <t>R-04</t>
        </is>
      </c>
      <c r="B5" s="18" t="inlineStr">
        <is>
          <t>Framework requirements change</t>
        </is>
      </c>
      <c r="C5" s="18" t="inlineStr">
        <is>
          <t>High</t>
        </is>
      </c>
      <c r="D5" s="18" t="inlineStr">
        <is>
          <t>Effective-dated mappings</t>
        </is>
      </c>
      <c r="E5" s="18" t="inlineStr">
        <is>
          <t>Framework specialist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2" customWidth="1" style="9" min="2" max="2"/>
    <col width="36" customWidth="1" style="9" min="3" max="3"/>
    <col width="34" customWidth="1" style="9" min="4" max="4"/>
    <col width="44" customWidth="1" style="9" min="5" max="5"/>
    <col width="26" customWidth="1" style="9" min="6" max="6"/>
  </cols>
  <sheetData>
    <row r="1" ht="26.85" customHeight="1" s="10">
      <c r="A1" s="17" t="inlineStr">
        <is>
          <t>Test ID</t>
        </is>
      </c>
      <c r="B1" s="17" t="inlineStr">
        <is>
          <t>Requirement</t>
        </is>
      </c>
      <c r="C1" s="17" t="inlineStr">
        <is>
          <t>Given</t>
        </is>
      </c>
      <c r="D1" s="17" t="inlineStr">
        <is>
          <t>When</t>
        </is>
      </c>
      <c r="E1" s="17" t="inlineStr">
        <is>
          <t>Then</t>
        </is>
      </c>
      <c r="F1" s="17" t="inlineStr">
        <is>
          <t>Status</t>
        </is>
      </c>
    </row>
    <row r="2" ht="15" customHeight="1" s="10">
      <c r="A2" s="18" t="inlineStr">
        <is>
          <t>UAT-01</t>
        </is>
      </c>
      <c r="B2" s="18" t="inlineStr">
        <is>
          <t>BR-01</t>
        </is>
      </c>
      <c r="C2" s="18" t="inlineStr">
        <is>
          <t>a photo is captured</t>
        </is>
      </c>
      <c r="D2" s="18" t="inlineStr">
        <is>
          <t>the record is opened</t>
        </is>
      </c>
      <c r="E2" s="18" t="inlineStr">
        <is>
          <t>hash, timestamp and permitted location are shown</t>
        </is>
      </c>
      <c r="F2" s="18" t="inlineStr">
        <is>
          <t>Planned</t>
        </is>
      </c>
    </row>
    <row r="3" ht="15" customHeight="1" s="10">
      <c r="A3" s="18" t="inlineStr">
        <is>
          <t>UAT-02</t>
        </is>
      </c>
      <c r="B3" s="18" t="inlineStr">
        <is>
          <t>BR-02</t>
        </is>
      </c>
      <c r="C3" s="18" t="inlineStr">
        <is>
          <t>extracted values in Draft</t>
        </is>
      </c>
      <c r="D3" s="18" t="inlineStr">
        <is>
          <t>a report is generated</t>
        </is>
      </c>
      <c r="E3" s="18" t="inlineStr">
        <is>
          <t>draft values are excluded and flagged</t>
        </is>
      </c>
      <c r="F3" s="18" t="inlineStr">
        <is>
          <t>Planned</t>
        </is>
      </c>
    </row>
    <row r="4" ht="15" customHeight="1" s="10">
      <c r="A4" s="18" t="inlineStr">
        <is>
          <t>UAT-03</t>
        </is>
      </c>
      <c r="B4" s="18" t="inlineStr">
        <is>
          <t>BR-03</t>
        </is>
      </c>
      <c r="C4" s="18" t="inlineStr">
        <is>
          <t>an approved value is corrected</t>
        </is>
      </c>
      <c r="D4" s="18" t="inlineStr">
        <is>
          <t>history is viewed</t>
        </is>
      </c>
      <c r="E4" s="18" t="inlineStr">
        <is>
          <t>both versions show with reason and approver</t>
        </is>
      </c>
      <c r="F4" s="18" t="inlineStr">
        <is>
          <t>Planned</t>
        </is>
      </c>
    </row>
    <row r="5" ht="15" customHeight="1" s="10">
      <c r="A5" s="18" t="inlineStr">
        <is>
          <t>UAT-04</t>
        </is>
      </c>
      <c r="B5" s="18" t="inlineStr">
        <is>
          <t>BR-04</t>
        </is>
      </c>
      <c r="C5" s="18" t="inlineStr">
        <is>
          <t>an investor user</t>
        </is>
      </c>
      <c r="D5" s="18" t="inlineStr">
        <is>
          <t>they open raw evidence</t>
        </is>
      </c>
      <c r="E5" s="18" t="inlineStr">
        <is>
          <t>access is denied</t>
        </is>
      </c>
      <c r="F5" s="18" t="inlineStr">
        <is>
          <t>Planned</t>
        </is>
      </c>
    </row>
    <row r="6" ht="15" customHeight="1" s="10">
      <c r="A6" s="18" t="inlineStr">
        <is>
          <t>UAT-05</t>
        </is>
      </c>
      <c r="B6" s="18" t="inlineStr">
        <is>
          <t>BR-05</t>
        </is>
      </c>
      <c r="C6" s="18" t="inlineStr">
        <is>
          <t>a CSRD report</t>
        </is>
      </c>
      <c r="D6" s="18" t="inlineStr">
        <is>
          <t>it is exported</t>
        </is>
      </c>
      <c r="E6" s="18" t="inlineStr">
        <is>
          <t>framework and mapping version appear on the output</t>
        </is>
      </c>
      <c r="F6" s="18" t="inlineStr">
        <is>
          <t>Planned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9" min="1" max="2"/>
    <col width="26" customWidth="1" style="9" min="3" max="3"/>
    <col width="16" customWidth="1" style="9" min="4" max="4"/>
    <col width="22" customWidth="1" style="9" min="5" max="5"/>
    <col width="16" customWidth="1" style="9" min="6" max="6"/>
  </cols>
  <sheetData>
    <row r="1" ht="26.85" customHeight="1" s="10">
      <c r="A1" s="17" t="inlineStr">
        <is>
          <t>Requirement</t>
        </is>
      </c>
      <c r="B1" s="17" t="inlineStr">
        <is>
          <t>Objective ID</t>
        </is>
      </c>
      <c r="C1" s="17" t="inlineStr">
        <is>
          <t>Functional requirements</t>
        </is>
      </c>
      <c r="D1" s="17" t="inlineStr">
        <is>
          <t>User stories</t>
        </is>
      </c>
      <c r="E1" s="17" t="inlineStr">
        <is>
          <t>Test IDs</t>
        </is>
      </c>
      <c r="F1" s="17" t="inlineStr">
        <is>
          <t>Number of tests</t>
        </is>
      </c>
    </row>
    <row r="2" ht="15" customHeight="1" s="10">
      <c r="A2" s="18" t="inlineStr">
        <is>
          <t>BR-01</t>
        </is>
      </c>
      <c r="B2" s="18">
        <f>IFERROR(INDEX(Requirements!$D:$D,MATCH(A2,Requirements!$A:$A,0)),"")</f>
        <v/>
      </c>
      <c r="C2" s="18" t="inlineStr">
        <is>
          <t>FR-01</t>
        </is>
      </c>
      <c r="D2" s="18" t="inlineStr">
        <is>
          <t>US-02</t>
        </is>
      </c>
      <c r="E2" s="18" t="inlineStr">
        <is>
          <t>UAT-01</t>
        </is>
      </c>
      <c r="F2" s="18">
        <f>COUNTIF(UAT!$B:$B,A2)</f>
        <v/>
      </c>
    </row>
    <row r="3" ht="15" customHeight="1" s="10">
      <c r="A3" s="18" t="inlineStr">
        <is>
          <t>BR-02</t>
        </is>
      </c>
      <c r="B3" s="18">
        <f>IFERROR(INDEX(Requirements!$D:$D,MATCH(A3,Requirements!$A:$A,0)),"")</f>
        <v/>
      </c>
      <c r="C3" s="18" t="inlineStr">
        <is>
          <t>FR-02</t>
        </is>
      </c>
      <c r="D3" s="18" t="inlineStr">
        <is>
          <t>US-01</t>
        </is>
      </c>
      <c r="E3" s="18" t="inlineStr">
        <is>
          <t>UAT-02</t>
        </is>
      </c>
      <c r="F3" s="18">
        <f>COUNTIF(UAT!$B:$B,A3)</f>
        <v/>
      </c>
    </row>
    <row r="4" ht="15" customHeight="1" s="10">
      <c r="A4" s="18" t="inlineStr">
        <is>
          <t>BR-03</t>
        </is>
      </c>
      <c r="B4" s="18">
        <f>IFERROR(INDEX(Requirements!$D:$D,MATCH(A4,Requirements!$A:$A,0)),"")</f>
        <v/>
      </c>
      <c r="C4" s="18" t="inlineStr">
        <is>
          <t>FR-03</t>
        </is>
      </c>
      <c r="D4" s="18" t="inlineStr">
        <is>
          <t>None</t>
        </is>
      </c>
      <c r="E4" s="18" t="inlineStr">
        <is>
          <t>UAT-03</t>
        </is>
      </c>
      <c r="F4" s="18">
        <f>COUNTIF(UAT!$B:$B,A4)</f>
        <v/>
      </c>
    </row>
    <row r="5" ht="15" customHeight="1" s="10">
      <c r="A5" s="18" t="inlineStr">
        <is>
          <t>BR-04</t>
        </is>
      </c>
      <c r="B5" s="18">
        <f>IFERROR(INDEX(Requirements!$D:$D,MATCH(A5,Requirements!$A:$A,0)),"")</f>
        <v/>
      </c>
      <c r="C5" s="18" t="inlineStr">
        <is>
          <t>FR-04</t>
        </is>
      </c>
      <c r="D5" s="18" t="inlineStr">
        <is>
          <t>None</t>
        </is>
      </c>
      <c r="E5" s="18" t="inlineStr">
        <is>
          <t>UAT-04</t>
        </is>
      </c>
      <c r="F5" s="18">
        <f>COUNTIF(UAT!$B:$B,A5)</f>
        <v/>
      </c>
    </row>
    <row r="6" ht="15" customHeight="1" s="10">
      <c r="A6" s="18" t="inlineStr">
        <is>
          <t>BR-05</t>
        </is>
      </c>
      <c r="B6" s="18">
        <f>IFERROR(INDEX(Requirements!$D:$D,MATCH(A6,Requirements!$A:$A,0)),"")</f>
        <v/>
      </c>
      <c r="C6" s="18" t="inlineStr">
        <is>
          <t>FR-05</t>
        </is>
      </c>
      <c r="D6" s="18" t="inlineStr">
        <is>
          <t>None</t>
        </is>
      </c>
      <c r="E6" s="18" t="inlineStr">
        <is>
          <t>UAT-05</t>
        </is>
      </c>
      <c r="F6" s="18">
        <f>COUNTIF(UAT!$B:$B,A6)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38" customWidth="1" style="9" min="3" max="3"/>
    <col width="45" customWidth="1" style="9" min="4" max="4"/>
  </cols>
  <sheetData>
    <row r="1" ht="15" customHeight="1" s="10">
      <c r="A1" s="17" t="inlineStr">
        <is>
          <t>Field</t>
        </is>
      </c>
      <c r="B1" s="17" t="inlineStr">
        <is>
          <t>Type</t>
        </is>
      </c>
      <c r="C1" s="17" t="inlineStr">
        <is>
          <t>Definition</t>
        </is>
      </c>
      <c r="D1" s="17" t="inlineStr">
        <is>
          <t>Allowed values</t>
        </is>
      </c>
    </row>
    <row r="2" ht="15" customHeight="1" s="10">
      <c r="A2" s="18" t="inlineStr">
        <is>
          <t>evidence_id</t>
        </is>
      </c>
      <c r="B2" s="18" t="inlineStr">
        <is>
          <t>Text</t>
        </is>
      </c>
      <c r="C2" s="18" t="inlineStr">
        <is>
          <t>Unique evidence record</t>
        </is>
      </c>
      <c r="D2" s="18" t="inlineStr">
        <is>
          <t>EVD-0001 format</t>
        </is>
      </c>
    </row>
    <row r="3" ht="15" customHeight="1" s="10">
      <c r="A3" s="18" t="inlineStr">
        <is>
          <t>source_type</t>
        </is>
      </c>
      <c r="B3" s="18" t="inlineStr">
        <is>
          <t>Category</t>
        </is>
      </c>
      <c r="C3" s="18" t="inlineStr">
        <is>
          <t>Captured format</t>
        </is>
      </c>
      <c r="D3" s="18" t="inlineStr">
        <is>
          <t>Photo, PDF, CSV</t>
        </is>
      </c>
    </row>
    <row r="4" ht="15" customHeight="1" s="10">
      <c r="A4" s="18" t="inlineStr">
        <is>
          <t>capture_timestamp</t>
        </is>
      </c>
      <c r="B4" s="18" t="inlineStr">
        <is>
          <t>Datetime</t>
        </is>
      </c>
      <c r="C4" s="18" t="inlineStr">
        <is>
          <t>Creation time</t>
        </is>
      </c>
      <c r="D4" s="18" t="inlineStr">
        <is>
          <t>ISO 8601</t>
        </is>
      </c>
    </row>
    <row r="5" ht="15" customHeight="1" s="10">
      <c r="A5" s="18" t="inlineStr">
        <is>
          <t>location_metadata</t>
        </is>
      </c>
      <c r="B5" s="18" t="inlineStr">
        <is>
          <t>Geospatial</t>
        </is>
      </c>
      <c r="C5" s="18" t="inlineStr">
        <is>
          <t>Permitted source-proof location</t>
        </is>
      </c>
      <c r="D5" s="18" t="inlineStr">
        <is>
          <t>Precision per organisation setting</t>
        </is>
      </c>
    </row>
    <row r="6" ht="15" customHeight="1" s="10">
      <c r="A6" s="18" t="inlineStr">
        <is>
          <t>validation_status</t>
        </is>
      </c>
      <c r="B6" s="18" t="inlineStr">
        <is>
          <t>Category</t>
        </is>
      </c>
      <c r="C6" s="18" t="inlineStr">
        <is>
          <t>Review state</t>
        </is>
      </c>
      <c r="D6" s="18" t="inlineStr">
        <is>
          <t>Draft, Approved, Rejected, Superseded</t>
        </is>
      </c>
    </row>
    <row r="7" ht="15" customHeight="1" s="10">
      <c r="A7" s="18" t="inlineStr">
        <is>
          <t>framework_version</t>
        </is>
      </c>
      <c r="B7" s="18" t="inlineStr">
        <is>
          <t>Text</t>
        </is>
      </c>
      <c r="C7" s="18" t="inlineStr">
        <is>
          <t>Mapping used</t>
        </is>
      </c>
      <c r="D7" s="18" t="inlineStr">
        <is>
          <t>Framework and version code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2026-09-25T01:59:53Z</dcterms:created>
  <dcterms:modified xmlns:dcterms="http://purl.org/dc/terms/" xmlns:xsi="http://www.w3.org/2001/XMLSchema-instance" xsi:type="dcterms:W3CDTF">2026-09-25T04:24:47Z</dcterms:modified>
  <cp:revision>0</cp:revision>
</cp:coreProperties>
</file>