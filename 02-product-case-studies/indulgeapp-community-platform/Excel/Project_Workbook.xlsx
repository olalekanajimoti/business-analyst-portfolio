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<sst xmlns="http://schemas.openxmlformats.org/spreadsheetml/2006/main" count="277" uniqueCount="200">
  <si>
    <t xml:space="preserve">IndulgeApp Diaspora Community Platform</t>
  </si>
  <si>
    <t xml:space="preserve">Status</t>
  </si>
  <si>
    <t xml:space="preserve">Concept / MVP design</t>
  </si>
  <si>
    <t xml:space="preserve">Domain</t>
  </si>
  <si>
    <t xml:space="preserve">Community technology and diaspora services</t>
  </si>
  <si>
    <t xml:space="preserve">Role</t>
  </si>
  <si>
    <t xml:space="preserve">Founder and Product Business Analyst</t>
  </si>
  <si>
    <t xml:space="preserve">Business problem</t>
  </si>
  <si>
    <t xml:space="preserve">People discover communities, trusted information and events through fragmented social channels, while group leaders lack connected engagement and event tools.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</si>
  <si>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</si>
  <si>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</si>
  <si>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</si>
  <si>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</si>
  <si>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</si>
  <si>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</si>
  <si>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</si>
  <si>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</si>
  <si>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</si>
  <si>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</si>
  <si>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</si>
  <si>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"Planned"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</si>
  <si>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</si>
  <si>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</si>
  <si>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</si>
  <si>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</si>
  <si>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</si>
  <si>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</si>
  <si>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</si>
  <si>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</si>
  <si>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</si>
  <si>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Improve trusted community discovery</t>
  </si>
  <si>
    <t xml:space="preserve">OBJ-02</t>
  </si>
  <si>
    <t xml:space="preserve">Support location-aware relevance with user control</t>
  </si>
  <si>
    <t xml:space="preserve">OBJ-03</t>
  </si>
  <si>
    <t xml:space="preserve">Connect groups to events</t>
  </si>
  <si>
    <t xml:space="preserve">OBJ-04</t>
  </si>
  <si>
    <t xml:space="preserve">Provide traceable moderation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</si>
  <si>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</si>
  <si>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</si>
  <si>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</si>
  <si>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</si>
  <si>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</si>
  <si>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Users discover relevant groups by location and interest</t>
  </si>
  <si>
    <t xml:space="preserve">Must</t>
  </si>
  <si>
    <t xml:space="preserve">Results respect selected preferences</t>
  </si>
  <si>
    <t xml:space="preserve">BR-02</t>
  </si>
  <si>
    <t xml:space="preserve">Verified status is clear and controlled</t>
  </si>
  <si>
    <t xml:space="preserve">Only approved groups show verification</t>
  </si>
  <si>
    <t xml:space="preserve">BR-03</t>
  </si>
  <si>
    <t xml:space="preserve">Users control location visibility and notifications</t>
  </si>
  <si>
    <t xml:space="preserve">Setting changes alter platform behaviour immediately</t>
  </si>
  <si>
    <t xml:space="preserve">BR-04</t>
  </si>
  <si>
    <t xml:space="preserve">Groups can link events to IndulgeTix</t>
  </si>
  <si>
    <t xml:space="preserve">Should</t>
  </si>
  <si>
    <t xml:space="preserve">Event and ticket route opens from the group</t>
  </si>
  <si>
    <t xml:space="preserve">BR-05</t>
  </si>
  <si>
    <t xml:space="preserve">Reports and moderation actions are traceable</t>
  </si>
  <si>
    <t xml:space="preserve">Status, decision, owner and appeal route are recorded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</si>
  <si>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</si>
  <si>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</si>
  <si>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</si>
  <si>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</si>
  <si>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Recommendation list filters by chosen area and interests</t>
  </si>
  <si>
    <t xml:space="preserve">Area options: city, region, country</t>
  </si>
  <si>
    <t xml:space="preserve">FR-02</t>
  </si>
  <si>
    <t xml:space="preserve">Verification badge shows only after moderator approval</t>
  </si>
  <si>
    <t xml:space="preserve">Badge expires after 12 months without review</t>
  </si>
  <si>
    <t xml:space="preserve">FR-03</t>
  </si>
  <si>
    <t xml:space="preserve">Privacy settings control location precision and notifications</t>
  </si>
  <si>
    <t xml:space="preserve">Default is city-level, never exact location</t>
  </si>
  <si>
    <t xml:space="preserve">FR-04</t>
  </si>
  <si>
    <t xml:space="preserve">Group event card deep-links to IndulgeTix checkout</t>
  </si>
  <si>
    <t xml:space="preserve">Link opens only for published events</t>
  </si>
  <si>
    <t xml:space="preserve">FR-05</t>
  </si>
  <si>
    <t xml:space="preserve">Report form records reason, evidence and reporter</t>
  </si>
  <si>
    <t xml:space="preserve">Decision and appeal route sent to reporter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</si>
  <si>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</si>
  <si>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</si>
  <si>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</si>
  <si>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</si>
  <si>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</si>
  <si>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</si>
  <si>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</si>
  <si>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member</t>
  </si>
  <si>
    <t xml:space="preserve">to share only my city, not my exact location</t>
  </si>
  <si>
    <t xml:space="preserve">I feel safe using the app</t>
  </si>
  <si>
    <t xml:space="preserve">I open privacy settings</t>
  </si>
  <si>
    <t xml:space="preserve">I choose city-level</t>
  </si>
  <si>
    <t xml:space="preserve">recommendations use my city and no precise location is stored</t>
  </si>
  <si>
    <t xml:space="preserve">US-02</t>
  </si>
  <si>
    <t xml:space="preserve">moderator</t>
  </si>
  <si>
    <t xml:space="preserve">every report to have evidence and an owner</t>
  </si>
  <si>
    <t xml:space="preserve">decisions are fair and traceable</t>
  </si>
  <si>
    <t xml:space="preserve">a report is submitted</t>
  </si>
  <si>
    <t xml:space="preserve">I assess it</t>
  </si>
  <si>
    <t xml:space="preserve">my decision, reason and appeal route are recorded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</si>
  <si>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</si>
  <si>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</si>
  <si>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</si>
  <si>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</si>
  <si>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</si>
  <si>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</si>
  <si>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</si>
  <si>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</si>
  <si>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Community members</t>
  </si>
  <si>
    <t xml:space="preserve">Low</t>
  </si>
  <si>
    <t xml:space="preserve">High</t>
  </si>
  <si>
    <t xml:space="preserve">Trust, relevance and privacy</t>
  </si>
  <si>
    <t xml:space="preserve">Recommendations, privacy controls</t>
  </si>
  <si>
    <t xml:space="preserve">In-app prompts</t>
  </si>
  <si>
    <t xml:space="preserve">Ongoing</t>
  </si>
  <si>
    <t xml:space="preserve">Keep informed</t>
  </si>
  <si>
    <t xml:space="preserve">Group leaders</t>
  </si>
  <si>
    <t xml:space="preserve">Medium</t>
  </si>
  <si>
    <t xml:space="preserve">Discovery and engagement</t>
  </si>
  <si>
    <t xml:space="preserve">Verification, analytics</t>
  </si>
  <si>
    <t xml:space="preserve">Leader onboarding call</t>
  </si>
  <si>
    <t xml:space="preserve">At onboarding and monthly</t>
  </si>
  <si>
    <t xml:space="preserve">Event organisers</t>
  </si>
  <si>
    <t xml:space="preserve">Connected promotion and ticketing</t>
  </si>
  <si>
    <t xml:space="preserve">Event linking</t>
  </si>
  <si>
    <t xml:space="preserve">Partner guide</t>
  </si>
  <si>
    <t xml:space="preserve">Per event</t>
  </si>
  <si>
    <t xml:space="preserve">Monitor</t>
  </si>
  <si>
    <t xml:space="preserve">Moderators</t>
  </si>
  <si>
    <t xml:space="preserve">Evidence and enforcement</t>
  </si>
  <si>
    <t xml:space="preserve">Policies, queue</t>
  </si>
  <si>
    <t xml:space="preserve">Moderation playbook</t>
  </si>
  <si>
    <t xml:space="preserve">Weekly review</t>
  </si>
  <si>
    <t xml:space="preserve">Manage closely</t>
  </si>
  <si>
    <t xml:space="preserve">Platform leadership</t>
  </si>
  <si>
    <t xml:space="preserve">Adoption and safety</t>
  </si>
  <si>
    <t xml:space="preserve">Growth and safety metrics</t>
  </si>
  <si>
    <t xml:space="preserve">Product review</t>
  </si>
  <si>
    <t xml:space="preserve">Monthly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</si>
  <si>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</si>
  <si>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</si>
  <si>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</si>
  <si>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</si>
  <si>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</si>
  <si>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Location data exposes users</t>
  </si>
  <si>
    <t xml:space="preserve">Minimum precision and privacy defaults</t>
  </si>
  <si>
    <t xml:space="preserve">Product owner</t>
  </si>
  <si>
    <t xml:space="preserve">R-02</t>
  </si>
  <si>
    <t xml:space="preserve">False verification</t>
  </si>
  <si>
    <t xml:space="preserve">Evidence review and expiry</t>
  </si>
  <si>
    <t xml:space="preserve">Moderation lead</t>
  </si>
  <si>
    <t xml:space="preserve">R-03</t>
  </si>
  <si>
    <t xml:space="preserve">Harmful content or group</t>
  </si>
  <si>
    <t xml:space="preserve">Reporting and moderation workflow</t>
  </si>
  <si>
    <t xml:space="preserve">R-04</t>
  </si>
  <si>
    <t xml:space="preserve">Recommendations create filter bubbles</t>
  </si>
  <si>
    <t xml:space="preserve">User controls and monitoring</t>
  </si>
  <si>
    <t xml:space="preserve">Test ID</t>
  </si>
  <si>
    <t xml:space="preserve">UAT-01</t>
  </si>
  <si>
    <t xml:space="preserve">a user selects London and food interests</t>
  </si>
  <si>
    <t xml:space="preserve">recommendations load</t>
  </si>
  <si>
    <t xml:space="preserve">only London food groups appear</t>
  </si>
  <si>
    <t xml:space="preserve">Planned</t>
  </si>
  <si>
    <t xml:space="preserve">UAT-02</t>
  </si>
  <si>
    <t xml:space="preserve">a group without approval</t>
  </si>
  <si>
    <t xml:space="preserve">its page is viewed</t>
  </si>
  <si>
    <t xml:space="preserve">no badge appears and guidance shows</t>
  </si>
  <si>
    <t xml:space="preserve">UAT-03</t>
  </si>
  <si>
    <t xml:space="preserve">a user switches to city-level</t>
  </si>
  <si>
    <t xml:space="preserve">they save settings</t>
  </si>
  <si>
    <t xml:space="preserve">no precise location is stored</t>
  </si>
  <si>
    <t xml:space="preserve">UAT-04</t>
  </si>
  <si>
    <t xml:space="preserve">a group with a published event</t>
  </si>
  <si>
    <t xml:space="preserve">a member taps the event</t>
  </si>
  <si>
    <t xml:space="preserve">IndulgeTix checkout opens</t>
  </si>
  <si>
    <t xml:space="preserve">UAT-05</t>
  </si>
  <si>
    <t xml:space="preserve">a report is decided</t>
  </si>
  <si>
    <t xml:space="preserve">the record is opened</t>
  </si>
  <si>
    <t xml:space="preserve">decision, owner and appeal route are present</t>
  </si>
  <si>
    <t xml:space="preserve">User stories</t>
  </si>
  <si>
    <t xml:space="preserve">Test IDs</t>
  </si>
  <si>
    <t xml:space="preserve">Number of tests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</si>
  <si>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</si>
  <si>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</si>
  <si>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</si>
  <si>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</si>
  <si>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</si>
  <si>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user_id</t>
  </si>
  <si>
    <t xml:space="preserve">Text</t>
  </si>
  <si>
    <t xml:space="preserve">Controlled user identifier</t>
  </si>
  <si>
    <t xml:space="preserve">Internal ID</t>
  </si>
  <si>
    <t xml:space="preserve">location_scope</t>
  </si>
  <si>
    <t xml:space="preserve">Category</t>
  </si>
  <si>
    <t xml:space="preserve">Chosen relevance area</t>
  </si>
  <si>
    <t xml:space="preserve">City, Region, Country</t>
  </si>
  <si>
    <t xml:space="preserve">group_id</t>
  </si>
  <si>
    <t xml:space="preserve">Unique community group</t>
  </si>
  <si>
    <t xml:space="preserve">GRP-0001 format</t>
  </si>
  <si>
    <t xml:space="preserve">verification_status</t>
  </si>
  <si>
    <t xml:space="preserve">Group trust state</t>
  </si>
  <si>
    <t xml:space="preserve">Unverified, Pending, Verified, Expired</t>
  </si>
  <si>
    <t xml:space="preserve">report_status</t>
  </si>
  <si>
    <t xml:space="preserve">Moderation state</t>
  </si>
  <si>
    <t xml:space="preserve">Open, Under review, Actioned, Dismissed, Appealed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</si>
</sst>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5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4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1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5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5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COUNTIF(UAT!F2:F200,"Planned")</f>
        <v>5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3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5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Improve trusted community discovery</v>
      </c>
      <c r="F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29</v>
      </c>
      <c r="E3" s="8" t="str">
        <f aca="false">IFERROR(INDEX(Objectives!$B:$B,MATCH(D3,Objectives!$A:$A,0)),"Check objective ID")</f>
        <v>Improve trusted community discovery</v>
      </c>
      <c r="F3" s="8" t="s">
        <v>47</v>
      </c>
    </row>
    <row r="4" customFormat="false" ht="23.8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31</v>
      </c>
      <c r="E4" s="8" t="str">
        <f aca="false">IFERROR(INDEX(Objectives!$B:$B,MATCH(D4,Objectives!$A:$A,0)),"Check objective ID")</f>
        <v>Support location-aware relevance with user control</v>
      </c>
      <c r="F4" s="8" t="s">
        <v>50</v>
      </c>
    </row>
    <row r="5" customFormat="false" ht="1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33</v>
      </c>
      <c r="E5" s="8" t="str">
        <f aca="false">IFERROR(INDEX(Objectives!$B:$B,MATCH(D5,Objectives!$A:$A,0)),"Check objective ID")</f>
        <v>Connect groups to events</v>
      </c>
      <c r="F5" s="8" t="s">
        <v>54</v>
      </c>
    </row>
    <row r="6" customFormat="false" ht="15" hidden="false" customHeight="false" outlineLevel="0" collapsed="false">
      <c r="A6" s="8" t="s">
        <v>55</v>
      </c>
      <c r="B6" s="8" t="s">
        <v>56</v>
      </c>
      <c r="C6" s="8" t="s">
        <v>43</v>
      </c>
      <c r="D6" s="8" t="s">
        <v>35</v>
      </c>
      <c r="E6" s="8" t="str">
        <f aca="false">IFERROR(INDEX(Objectives!$B:$B,MATCH(D6,Objectives!$A:$A,0)),"Check objective ID")</f>
        <v>Provide traceable moderation</v>
      </c>
      <c r="F6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58</v>
      </c>
      <c r="C1" s="7" t="s">
        <v>59</v>
      </c>
      <c r="D1" s="7" t="s">
        <v>60</v>
      </c>
    </row>
    <row r="2" customFormat="false" ht="15" hidden="false" customHeight="false" outlineLevel="0" collapsed="false">
      <c r="A2" s="8" t="s">
        <v>61</v>
      </c>
      <c r="B2" s="8" t="s">
        <v>41</v>
      </c>
      <c r="C2" s="8" t="s">
        <v>62</v>
      </c>
      <c r="D2" s="8" t="s">
        <v>63</v>
      </c>
    </row>
    <row r="3" customFormat="false" ht="15" hidden="false" customHeight="false" outlineLevel="0" collapsed="false">
      <c r="A3" s="8" t="s">
        <v>64</v>
      </c>
      <c r="B3" s="8" t="s">
        <v>45</v>
      </c>
      <c r="C3" s="8" t="s">
        <v>65</v>
      </c>
      <c r="D3" s="8" t="s">
        <v>66</v>
      </c>
    </row>
    <row r="4" customFormat="false" ht="15" hidden="false" customHeight="false" outlineLevel="0" collapsed="false">
      <c r="A4" s="8" t="s">
        <v>67</v>
      </c>
      <c r="B4" s="8" t="s">
        <v>48</v>
      </c>
      <c r="C4" s="8" t="s">
        <v>68</v>
      </c>
      <c r="D4" s="8" t="s">
        <v>69</v>
      </c>
    </row>
    <row r="5" customFormat="false" ht="15" hidden="false" customHeight="false" outlineLevel="0" collapsed="false">
      <c r="A5" s="8" t="s">
        <v>70</v>
      </c>
      <c r="B5" s="8" t="s">
        <v>51</v>
      </c>
      <c r="C5" s="8" t="s">
        <v>71</v>
      </c>
      <c r="D5" s="8" t="s">
        <v>72</v>
      </c>
    </row>
    <row r="6" customFormat="false" ht="15" hidden="false" customHeight="false" outlineLevel="0" collapsed="false">
      <c r="A6" s="8" t="s">
        <v>73</v>
      </c>
      <c r="B6" s="8" t="s">
        <v>55</v>
      </c>
      <c r="C6" s="8" t="s">
        <v>74</v>
      </c>
      <c r="D6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58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</row>
    <row r="2" customFormat="false" ht="23.85" hidden="false" customHeight="false" outlineLevel="0" collapsed="false">
      <c r="A2" s="8" t="s">
        <v>82</v>
      </c>
      <c r="B2" s="8" t="s">
        <v>48</v>
      </c>
      <c r="C2" s="8" t="s">
        <v>83</v>
      </c>
      <c r="D2" s="8" t="s">
        <v>84</v>
      </c>
      <c r="E2" s="8" t="s">
        <v>85</v>
      </c>
      <c r="F2" s="8" t="s">
        <v>86</v>
      </c>
      <c r="G2" s="8" t="s">
        <v>87</v>
      </c>
      <c r="H2" s="8" t="s">
        <v>88</v>
      </c>
    </row>
    <row r="3" customFormat="false" ht="23.85" hidden="false" customHeight="false" outlineLevel="0" collapsed="false">
      <c r="A3" s="8" t="s">
        <v>89</v>
      </c>
      <c r="B3" s="8" t="s">
        <v>55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98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</row>
    <row r="2" customFormat="false" ht="15" hidden="false" customHeight="false" outlineLevel="0" collapsed="false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108</v>
      </c>
      <c r="F2" s="8" t="s">
        <v>109</v>
      </c>
      <c r="G2" s="8" t="s">
        <v>110</v>
      </c>
      <c r="H2" s="8" t="s">
        <v>111</v>
      </c>
    </row>
    <row r="3" customFormat="false" ht="23.85" hidden="false" customHeight="false" outlineLevel="0" collapsed="false">
      <c r="A3" s="8" t="s">
        <v>112</v>
      </c>
      <c r="B3" s="8" t="s">
        <v>113</v>
      </c>
      <c r="C3" s="8" t="s">
        <v>106</v>
      </c>
      <c r="D3" s="8" t="s">
        <v>114</v>
      </c>
      <c r="E3" s="8" t="s">
        <v>115</v>
      </c>
      <c r="F3" s="8" t="s">
        <v>116</v>
      </c>
      <c r="G3" s="8" t="s">
        <v>117</v>
      </c>
      <c r="H3" s="8" t="s">
        <v>111</v>
      </c>
    </row>
    <row r="4" customFormat="false" ht="15" hidden="false" customHeight="false" outlineLevel="0" collapsed="false">
      <c r="A4" s="8" t="s">
        <v>118</v>
      </c>
      <c r="B4" s="8" t="s">
        <v>113</v>
      </c>
      <c r="C4" s="8" t="s">
        <v>113</v>
      </c>
      <c r="D4" s="8" t="s">
        <v>119</v>
      </c>
      <c r="E4" s="8" t="s">
        <v>120</v>
      </c>
      <c r="F4" s="8" t="s">
        <v>121</v>
      </c>
      <c r="G4" s="8" t="s">
        <v>122</v>
      </c>
      <c r="H4" s="8" t="s">
        <v>123</v>
      </c>
    </row>
    <row r="5" customFormat="false" ht="15" hidden="false" customHeight="false" outlineLevel="0" collapsed="false">
      <c r="A5" s="8" t="s">
        <v>124</v>
      </c>
      <c r="B5" s="8" t="s">
        <v>106</v>
      </c>
      <c r="C5" s="8" t="s">
        <v>106</v>
      </c>
      <c r="D5" s="8" t="s">
        <v>125</v>
      </c>
      <c r="E5" s="8" t="s">
        <v>126</v>
      </c>
      <c r="F5" s="8" t="s">
        <v>127</v>
      </c>
      <c r="G5" s="8" t="s">
        <v>128</v>
      </c>
      <c r="H5" s="8" t="s">
        <v>129</v>
      </c>
    </row>
    <row r="6" customFormat="false" ht="15" hidden="false" customHeight="false" outlineLevel="0" collapsed="false">
      <c r="A6" s="8" t="s">
        <v>130</v>
      </c>
      <c r="B6" s="8" t="s">
        <v>106</v>
      </c>
      <c r="C6" s="8" t="s">
        <v>106</v>
      </c>
      <c r="D6" s="8" t="s">
        <v>131</v>
      </c>
      <c r="E6" s="8" t="s">
        <v>132</v>
      </c>
      <c r="F6" s="8" t="s">
        <v>133</v>
      </c>
      <c r="G6" s="8" t="s">
        <v>134</v>
      </c>
      <c r="H6" s="8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135</v>
      </c>
      <c r="C1" s="7" t="s">
        <v>136</v>
      </c>
      <c r="D1" s="7" t="s">
        <v>137</v>
      </c>
      <c r="E1" s="7" t="s">
        <v>138</v>
      </c>
    </row>
    <row r="2" customFormat="false" ht="15" hidden="false" customHeight="false" outlineLevel="0" collapsed="false">
      <c r="A2" s="8" t="s">
        <v>139</v>
      </c>
      <c r="B2" s="8" t="s">
        <v>140</v>
      </c>
      <c r="C2" s="8" t="s">
        <v>106</v>
      </c>
      <c r="D2" s="8" t="s">
        <v>141</v>
      </c>
      <c r="E2" s="8" t="s">
        <v>142</v>
      </c>
    </row>
    <row r="3" customFormat="false" ht="15" hidden="false" customHeight="false" outlineLevel="0" collapsed="false">
      <c r="A3" s="8" t="s">
        <v>143</v>
      </c>
      <c r="B3" s="8" t="s">
        <v>144</v>
      </c>
      <c r="C3" s="8" t="s">
        <v>106</v>
      </c>
      <c r="D3" s="8" t="s">
        <v>145</v>
      </c>
      <c r="E3" s="8" t="s">
        <v>146</v>
      </c>
    </row>
    <row r="4" customFormat="false" ht="15" hidden="false" customHeight="false" outlineLevel="0" collapsed="false">
      <c r="A4" s="8" t="s">
        <v>147</v>
      </c>
      <c r="B4" s="8" t="s">
        <v>148</v>
      </c>
      <c r="C4" s="8" t="s">
        <v>106</v>
      </c>
      <c r="D4" s="8" t="s">
        <v>149</v>
      </c>
      <c r="E4" s="8" t="s">
        <v>146</v>
      </c>
    </row>
    <row r="5" customFormat="false" ht="15" hidden="false" customHeight="false" outlineLevel="0" collapsed="false">
      <c r="A5" s="8" t="s">
        <v>150</v>
      </c>
      <c r="B5" s="8" t="s">
        <v>151</v>
      </c>
      <c r="C5" s="8" t="s">
        <v>113</v>
      </c>
      <c r="D5" s="8" t="s">
        <v>152</v>
      </c>
      <c r="E5" s="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153</v>
      </c>
      <c r="B1" s="7" t="s">
        <v>38</v>
      </c>
      <c r="C1" s="7" t="s">
        <v>79</v>
      </c>
      <c r="D1" s="7" t="s">
        <v>80</v>
      </c>
      <c r="E1" s="7" t="s">
        <v>81</v>
      </c>
      <c r="F1" s="7" t="s">
        <v>1</v>
      </c>
    </row>
    <row r="2" customFormat="false" ht="15" hidden="false" customHeight="false" outlineLevel="0" collapsed="false">
      <c r="A2" s="8" t="s">
        <v>154</v>
      </c>
      <c r="B2" s="8" t="s">
        <v>41</v>
      </c>
      <c r="C2" s="8" t="s">
        <v>155</v>
      </c>
      <c r="D2" s="8" t="s">
        <v>156</v>
      </c>
      <c r="E2" s="8" t="s">
        <v>157</v>
      </c>
      <c r="F2" s="8" t="s">
        <v>158</v>
      </c>
    </row>
    <row r="3" customFormat="false" ht="15" hidden="false" customHeight="false" outlineLevel="0" collapsed="false">
      <c r="A3" s="8" t="s">
        <v>159</v>
      </c>
      <c r="B3" s="8" t="s">
        <v>45</v>
      </c>
      <c r="C3" s="8" t="s">
        <v>160</v>
      </c>
      <c r="D3" s="8" t="s">
        <v>161</v>
      </c>
      <c r="E3" s="8" t="s">
        <v>162</v>
      </c>
      <c r="F3" s="8" t="s">
        <v>158</v>
      </c>
    </row>
    <row r="4" customFormat="false" ht="15" hidden="false" customHeight="false" outlineLevel="0" collapsed="false">
      <c r="A4" s="8" t="s">
        <v>163</v>
      </c>
      <c r="B4" s="8" t="s">
        <v>48</v>
      </c>
      <c r="C4" s="8" t="s">
        <v>164</v>
      </c>
      <c r="D4" s="8" t="s">
        <v>165</v>
      </c>
      <c r="E4" s="8" t="s">
        <v>166</v>
      </c>
      <c r="F4" s="8" t="s">
        <v>158</v>
      </c>
    </row>
    <row r="5" customFormat="false" ht="15" hidden="false" customHeight="false" outlineLevel="0" collapsed="false">
      <c r="A5" s="8" t="s">
        <v>167</v>
      </c>
      <c r="B5" s="8" t="s">
        <v>51</v>
      </c>
      <c r="C5" s="8" t="s">
        <v>168</v>
      </c>
      <c r="D5" s="8" t="s">
        <v>169</v>
      </c>
      <c r="E5" s="8" t="s">
        <v>170</v>
      </c>
      <c r="F5" s="8" t="s">
        <v>158</v>
      </c>
    </row>
    <row r="6" customFormat="false" ht="15" hidden="false" customHeight="false" outlineLevel="0" collapsed="false">
      <c r="A6" s="8" t="s">
        <v>171</v>
      </c>
      <c r="B6" s="8" t="s">
        <v>55</v>
      </c>
      <c r="C6" s="8" t="s">
        <v>172</v>
      </c>
      <c r="D6" s="8" t="s">
        <v>173</v>
      </c>
      <c r="E6" s="8" t="s">
        <v>174</v>
      </c>
      <c r="F6" s="8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175</v>
      </c>
      <c r="E1" s="7" t="s">
        <v>176</v>
      </c>
      <c r="F1" s="7" t="s">
        <v>177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61</v>
      </c>
      <c r="D2" s="8" t="s">
        <v>178</v>
      </c>
      <c r="E2" s="8" t="s">
        <v>154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OBJ-01</v>
      </c>
      <c r="C3" s="8" t="s">
        <v>64</v>
      </c>
      <c r="D3" s="8" t="s">
        <v>178</v>
      </c>
      <c r="E3" s="8" t="s">
        <v>159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OBJ-02</v>
      </c>
      <c r="C4" s="8" t="s">
        <v>67</v>
      </c>
      <c r="D4" s="8" t="s">
        <v>82</v>
      </c>
      <c r="E4" s="8" t="s">
        <v>163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51</v>
      </c>
      <c r="B5" s="8" t="str">
        <f aca="false">IFERROR(INDEX(Requirements!$D:$D,MATCH(A5,Requirements!$A:$A,0)),"")</f>
        <v>OBJ-03</v>
      </c>
      <c r="C5" s="8" t="s">
        <v>70</v>
      </c>
      <c r="D5" s="8" t="s">
        <v>178</v>
      </c>
      <c r="E5" s="8" t="s">
        <v>167</v>
      </c>
      <c r="F5" s="8" t="n">
        <f aca="false">COUNTIF(UAT!$B:$B,A5)</f>
        <v>1</v>
      </c>
    </row>
    <row r="6" customFormat="false" ht="15" hidden="false" customHeight="false" outlineLevel="0" collapsed="false">
      <c r="A6" s="8" t="s">
        <v>55</v>
      </c>
      <c r="B6" s="8" t="str">
        <f aca="false">IFERROR(INDEX(Requirements!$D:$D,MATCH(A6,Requirements!$A:$A,0)),"")</f>
        <v>OBJ-04</v>
      </c>
      <c r="C6" s="8" t="s">
        <v>73</v>
      </c>
      <c r="D6" s="8" t="s">
        <v>89</v>
      </c>
      <c r="E6" s="8" t="s">
        <v>171</v>
      </c>
      <c r="F6" s="8" t="n">
        <f aca="false">COUNTIF(UAT!$B:$B,A6)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179</v>
      </c>
      <c r="B1" s="7" t="s">
        <v>180</v>
      </c>
      <c r="C1" s="7" t="s">
        <v>181</v>
      </c>
      <c r="D1" s="7" t="s">
        <v>182</v>
      </c>
    </row>
    <row r="2" customFormat="false" ht="15" hidden="false" customHeight="false" outlineLevel="0" collapsed="false">
      <c r="A2" s="8" t="s">
        <v>183</v>
      </c>
      <c r="B2" s="8" t="s">
        <v>184</v>
      </c>
      <c r="C2" s="8" t="s">
        <v>185</v>
      </c>
      <c r="D2" s="8" t="s">
        <v>186</v>
      </c>
    </row>
    <row r="3" customFormat="false" ht="15" hidden="false" customHeight="false" outlineLevel="0" collapsed="false">
      <c r="A3" s="8" t="s">
        <v>187</v>
      </c>
      <c r="B3" s="8" t="s">
        <v>188</v>
      </c>
      <c r="C3" s="8" t="s">
        <v>189</v>
      </c>
      <c r="D3" s="8" t="s">
        <v>190</v>
      </c>
    </row>
    <row r="4" customFormat="false" ht="15" hidden="false" customHeight="false" outlineLevel="0" collapsed="false">
      <c r="A4" s="8" t="s">
        <v>191</v>
      </c>
      <c r="B4" s="8" t="s">
        <v>184</v>
      </c>
      <c r="C4" s="8" t="s">
        <v>192</v>
      </c>
      <c r="D4" s="8" t="s">
        <v>193</v>
      </c>
    </row>
    <row r="5" customFormat="false" ht="15" hidden="false" customHeight="false" outlineLevel="0" collapsed="false">
      <c r="A5" s="8" t="s">
        <v>194</v>
      </c>
      <c r="B5" s="8" t="s">
        <v>188</v>
      </c>
      <c r="C5" s="8" t="s">
        <v>195</v>
      </c>
      <c r="D5" s="8" t="s">
        <v>196</v>
      </c>
    </row>
    <row r="6" customFormat="false" ht="15" hidden="false" customHeight="false" outlineLevel="0" collapsed="false">
      <c r="A6" s="8" t="s">
        <v>197</v>
      </c>
      <c r="B6" s="8" t="s">
        <v>188</v>
      </c>
      <c r="C6" s="8" t="s">
        <v>198</v>
      </c>
      <c r="D6" s="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2026-09-25T01:59:53Z</dcterms:created>
  <dc:creator>openpyxl</dc:creator>
  <dc:description/>
  <dc:language>en-US</dc:language>
  <cp:lastModifiedBy/>
  <dcterms:modified xsi:type="dcterms:W3CDTF">2026-09-25T01:59:53Z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