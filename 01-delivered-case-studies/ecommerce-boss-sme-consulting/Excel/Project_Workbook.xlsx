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Objectives" sheetId="2" state="visible" r:id="rId2"/>
    <sheet xmlns:r="http://schemas.openxmlformats.org/officeDocument/2006/relationships" name="Requirements" sheetId="3" state="visible" r:id="rId3"/>
    <sheet xmlns:r="http://schemas.openxmlformats.org/officeDocument/2006/relationships" name="Functional" sheetId="4" state="visible" r:id="rId4"/>
    <sheet xmlns:r="http://schemas.openxmlformats.org/officeDocument/2006/relationships" name="User Stories" sheetId="5" state="visible" r:id="rId5"/>
    <sheet xmlns:r="http://schemas.openxmlformats.org/officeDocument/2006/relationships" name="Stakeholders" sheetId="6" state="visible" r:id="rId6"/>
    <sheet xmlns:r="http://schemas.openxmlformats.org/officeDocument/2006/relationships" name="RAID" sheetId="7" state="visible" r:id="rId7"/>
    <sheet xmlns:r="http://schemas.openxmlformats.org/officeDocument/2006/relationships" name="UAT" sheetId="8" state="visible" r:id="rId8"/>
    <sheet xmlns:r="http://schemas.openxmlformats.org/officeDocument/2006/relationships" name="Traceability" sheetId="9" state="visible" r:id="rId9"/>
    <sheet xmlns:r="http://schemas.openxmlformats.org/officeDocument/2006/relationships" name="Data Dictionary"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5253D"/>
      <sz val="14"/>
    </font>
    <font>
      <name val="Arial"/>
      <charset val="1"/>
      <family val="0"/>
      <b val="1"/>
      <sz val="11"/>
    </font>
    <font>
      <name val="Arial"/>
      <charset val="1"/>
      <family val="0"/>
      <sz val="10"/>
    </font>
    <font>
      <name val="Arial"/>
      <charset val="1"/>
      <family val="0"/>
      <b val="1"/>
      <color rgb="FFFFFFFF"/>
      <sz val="11"/>
    </font>
    <font>
      <name val="Arial"/>
      <charset val="1"/>
      <family val="0"/>
      <i val="1"/>
      <color rgb="FF64748B"/>
      <sz val="11"/>
    </font>
  </fonts>
  <fills count="3">
    <fill>
      <patternFill/>
    </fill>
    <fill>
      <patternFill patternType="gray125"/>
    </fill>
    <fill>
      <patternFill patternType="solid">
        <fgColor rgb="FF15253D"/>
        <bgColor rgb="FF003366"/>
      </patternFill>
    </fill>
  </fills>
  <borders count="2">
    <border>
      <left/>
      <right/>
      <top/>
      <bottom/>
      <diagonal/>
    </border>
    <border>
      <left style="thin">
        <color rgb="FFD5DDE8"/>
      </left>
      <right style="thin">
        <color rgb="FFD5DDE8"/>
      </right>
      <top style="thin">
        <color rgb="FFD5DDE8"/>
      </top>
      <bottom style="thin">
        <color rgb="FFD5DD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5DD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339966"/>
      <rgbColor rgb="FF003300"/>
      <rgbColor rgb="FF333300"/>
      <rgbColor rgb="FF993300"/>
      <rgbColor rgb="FF993366"/>
      <rgbColor rgb="FF333399"/>
      <rgbColor rgb="FF1525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 min="1" max="1"/>
    <col width="80" customWidth="1" style="9" min="2" max="2"/>
    <col width="16" customWidth="1" style="9" min="3" max="3"/>
  </cols>
  <sheetData>
    <row r="1" ht="17.35" customHeight="1" s="10">
      <c r="A1" s="11" t="inlineStr">
        <is>
          <t>The Ecommerce Boss SME Consulting</t>
        </is>
      </c>
    </row>
    <row r="3" ht="15" customHeight="1" s="10">
      <c r="A3" s="12" t="inlineStr">
        <is>
          <t>Status</t>
        </is>
      </c>
      <c r="B3" s="13" t="inlineStr">
        <is>
          <t>Ongoing (2024 to present)</t>
        </is>
      </c>
    </row>
    <row r="4" ht="15" customHeight="1" s="10">
      <c r="A4" s="12" t="inlineStr">
        <is>
          <t>Domain</t>
        </is>
      </c>
      <c r="B4" s="13" t="inlineStr">
        <is>
          <t>SME digital services: marketing operations and web development</t>
        </is>
      </c>
    </row>
    <row r="5" ht="15" customHeight="1" s="10">
      <c r="A5" s="12" t="inlineStr">
        <is>
          <t>Role</t>
        </is>
      </c>
      <c r="B5" s="13" t="inlineStr">
        <is>
          <t>Business Analyst</t>
        </is>
      </c>
    </row>
    <row r="6" ht="23.85" customHeight="1" s="10">
      <c r="A6" s="12" t="inlineStr">
        <is>
          <t>Business problem</t>
        </is>
      </c>
      <c r="B6" s="13" t="inlineStr">
        <is>
          <t>Small-business owners arrive with a solution already in mind, such as a new website or more sales from social media. Underneath there is usually no agreed goal, enquiries scattered across direct messages, forms and spreadsheets, and no way to see what marketing or the website actually returns, all on a tight budget.</t>
        </is>
      </c>
    </row>
    <row r="9" ht="15" customHeight="1" s="10">
      <c r="A9" s="14" t="inlineStr">
        <is>
          <t>Measure</t>
        </is>
      </c>
      <c r="B9" s="14" t="inlineStr">
        <is>
          <t>Value</t>
        </is>
      </c>
      <c r="C9" s="14" t="inlineStr">
        <is>
          <t>Source</t>
        </is>
      </c>
    </row>
    <row r="10" ht="15" customHeight="1" s="10">
      <c r="A10" s="15" t="inlineStr">
        <is>
          <t>Business requirements</t>
        </is>
      </c>
      <c r="B10" s="15">
        <f>COUNTA(Requirements!A2:A200)</f>
        <v/>
      </c>
      <c r="C10" s="15" t="inlineStr">
        <is>
          <t>Requirements</t>
        </is>
      </c>
    </row>
    <row r="11" ht="15" customHeight="1" s="10">
      <c r="A11" s="15" t="inlineStr">
        <is>
          <t>Must requirements</t>
        </is>
      </c>
      <c r="B11" s="15">
        <f>COUNTIF(Requirements!C2:C200,"Must")</f>
        <v/>
      </c>
      <c r="C11" s="15" t="inlineStr">
        <is>
          <t>Requirements</t>
        </is>
      </c>
    </row>
    <row r="12" ht="15" customHeight="1" s="10">
      <c r="A12" s="15" t="inlineStr">
        <is>
          <t>Should requirements</t>
        </is>
      </c>
      <c r="B12" s="15">
        <f>COUNTIF(Requirements!C2:C200,"Should")</f>
        <v/>
      </c>
      <c r="C12" s="15" t="inlineStr">
        <is>
          <t>Requirements</t>
        </is>
      </c>
    </row>
    <row r="13" ht="15" customHeight="1" s="10">
      <c r="A13" s="15" t="inlineStr">
        <is>
          <t>Functional requirements</t>
        </is>
      </c>
      <c r="B13" s="15">
        <f>COUNTA(Functional!A2:A200)</f>
        <v/>
      </c>
      <c r="C13" s="15" t="inlineStr">
        <is>
          <t>Functional</t>
        </is>
      </c>
    </row>
    <row r="14" ht="15" customHeight="1" s="10">
      <c r="A14" s="15" t="inlineStr">
        <is>
          <t>Requirements with a test</t>
        </is>
      </c>
      <c r="B14" s="15">
        <f>COUNTIF(Traceability!F2:F200,"&gt;0")</f>
        <v/>
      </c>
      <c r="C14" s="15" t="inlineStr">
        <is>
          <t>Traceability</t>
        </is>
      </c>
    </row>
    <row r="15" ht="15" customHeight="1" s="10">
      <c r="A15" s="15" t="inlineStr">
        <is>
          <t>Tests with status "Released"</t>
        </is>
      </c>
      <c r="B15" s="15">
        <f>COUNTIF(UAT!F2:F200,"Released")</f>
        <v/>
      </c>
      <c r="C15" s="15" t="inlineStr">
        <is>
          <t>UAT</t>
        </is>
      </c>
    </row>
    <row r="16" ht="15" customHeight="1" s="10">
      <c r="A16" s="15" t="inlineStr">
        <is>
          <t>High risks</t>
        </is>
      </c>
      <c r="B16" s="15">
        <f>COUNTIF(RAID!C2:C200,"High")</f>
        <v/>
      </c>
      <c r="C16" s="15" t="inlineStr">
        <is>
          <t>RAID</t>
        </is>
      </c>
    </row>
    <row r="17" ht="15" customHeight="1" s="10">
      <c r="A17" s="15" t="inlineStr">
        <is>
          <t>Stakeholder groups</t>
        </is>
      </c>
      <c r="B17" s="15">
        <f>COUNTA(Stakeholders!A2:A200)</f>
        <v/>
      </c>
      <c r="C17" s="15" t="inlineStr">
        <is>
          <t>Stakeholders</t>
        </is>
      </c>
    </row>
    <row r="19" ht="15" customHeight="1" s="10">
      <c r="A19" s="16" t="inlineStr">
        <is>
          <t>Counts are formulas and update when rows are added. Status values are recorded on the UAT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9" min="1" max="1"/>
    <col width="70" customWidth="1" style="9" min="2" max="2"/>
  </cols>
  <sheetData>
    <row r="1" ht="15" customHeight="1" s="10">
      <c r="A1" s="17" t="inlineStr">
        <is>
          <t>Objective ID</t>
        </is>
      </c>
      <c r="B1" s="17" t="inlineStr">
        <is>
          <t>Objective</t>
        </is>
      </c>
    </row>
    <row r="2" ht="15" customHeight="1" s="10">
      <c r="A2" s="18" t="inlineStr">
        <is>
          <t>OBJ-01</t>
        </is>
      </c>
      <c r="B2" s="18" t="inlineStr">
        <is>
          <t>Agree the business goal and success measure before anything is built</t>
        </is>
      </c>
    </row>
    <row r="3" ht="15" customHeight="1" s="10">
      <c r="A3" s="18" t="inlineStr">
        <is>
          <t>OBJ-02</t>
        </is>
      </c>
      <c r="B3" s="18" t="inlineStr">
        <is>
          <t>Deliver websites and tools that fit the business's budget and capacity</t>
        </is>
      </c>
    </row>
    <row r="4" ht="15" customHeight="1" s="10">
      <c r="A4" s="18" t="inlineStr">
        <is>
          <t>OBJ-03</t>
        </is>
      </c>
      <c r="B4" s="18" t="inlineStr">
        <is>
          <t>Capture every enquiry in one traceable record with a clear next step</t>
        </is>
      </c>
    </row>
    <row r="5" ht="15" customHeight="1" s="10">
      <c r="A5" s="18" t="inlineStr">
        <is>
          <t>OBJ-04</t>
        </is>
      </c>
      <c r="B5" s="18" t="inlineStr">
        <is>
          <t>Make marketing and website performance measurable</t>
        </is>
      </c>
    </row>
    <row r="6">
      <c r="A6" s="18" t="inlineStr">
        <is>
          <t>OBJ-05</t>
        </is>
      </c>
      <c r="B6" s="18" t="inlineStr">
        <is>
          <t>Leave the owner able to run the solution after handover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 min="1" max="1"/>
    <col width="55" customWidth="1" style="9" min="2" max="2"/>
    <col width="10" customWidth="1" style="9" min="3" max="3"/>
    <col width="13" customWidth="1" style="9" min="4" max="4"/>
    <col width="40" customWidth="1" style="9" min="5" max="5"/>
    <col width="55" customWidth="1" style="9" min="6" max="6"/>
  </cols>
  <sheetData>
    <row r="1" ht="15" customHeight="1" s="10">
      <c r="A1" s="17" t="inlineStr">
        <is>
          <t>ID</t>
        </is>
      </c>
      <c r="B1" s="17" t="inlineStr">
        <is>
          <t>Requirement</t>
        </is>
      </c>
      <c r="C1" s="17" t="inlineStr">
        <is>
          <t>Priority</t>
        </is>
      </c>
      <c r="D1" s="17" t="inlineStr">
        <is>
          <t>Objective ID</t>
        </is>
      </c>
      <c r="E1" s="17" t="inlineStr">
        <is>
          <t>Objective</t>
        </is>
      </c>
      <c r="F1" s="17" t="inlineStr">
        <is>
          <t>Acceptance criterion</t>
        </is>
      </c>
    </row>
    <row r="2" ht="23.85" customHeight="1" s="10">
      <c r="A2" s="18" t="inlineStr">
        <is>
          <t>BR-01</t>
        </is>
      </c>
      <c r="B2" s="18" t="inlineStr">
        <is>
          <t>Each engagement starts with a discovery brief the owner agrees</t>
        </is>
      </c>
      <c r="C2" s="18" t="inlineStr">
        <is>
          <t>Must</t>
        </is>
      </c>
      <c r="D2" s="18" t="inlineStr">
        <is>
          <t>OBJ-01</t>
        </is>
      </c>
      <c r="E2" s="18" t="inlineStr">
        <is>
          <t>Agree the business goal and success measure before anything is built</t>
        </is>
      </c>
      <c r="F2" s="18" t="inlineStr">
        <is>
          <t>Goal, users, constraints and success measure are written down and signed off before build</t>
        </is>
      </c>
    </row>
    <row r="3" ht="23.85" customHeight="1" s="10">
      <c r="A3" s="18" t="inlineStr">
        <is>
          <t>BR-02</t>
        </is>
      </c>
      <c r="B3" s="18" t="inlineStr">
        <is>
          <t>Scope is prioritised against the budget</t>
        </is>
      </c>
      <c r="C3" s="18" t="inlineStr">
        <is>
          <t>Must</t>
        </is>
      </c>
      <c r="D3" s="18" t="inlineStr">
        <is>
          <t>OBJ-02</t>
        </is>
      </c>
      <c r="E3" s="18" t="inlineStr">
        <is>
          <t>Deliver websites and tools that fit the business's budget and capacity</t>
        </is>
      </c>
      <c r="F3" s="18" t="inlineStr">
        <is>
          <t>Must items fit the budget; Should, Could and Won't items are recorded with reasons</t>
        </is>
      </c>
    </row>
    <row r="4" ht="23.85" customHeight="1" s="10">
      <c r="A4" s="18" t="inlineStr">
        <is>
          <t>BR-03</t>
        </is>
      </c>
      <c r="B4" s="18" t="inlineStr">
        <is>
          <t>Enquiries from every channel land in one record</t>
        </is>
      </c>
      <c r="C4" s="18" t="inlineStr">
        <is>
          <t>Must</t>
        </is>
      </c>
      <c r="D4" s="18" t="inlineStr">
        <is>
          <t>OBJ-03</t>
        </is>
      </c>
      <c r="E4" s="18" t="inlineStr">
        <is>
          <t>Capture every enquiry in one traceable record with a clear next step</t>
        </is>
      </c>
      <c r="F4" s="18" t="inlineStr">
        <is>
          <t>Website, form and social enquiries create a record with source, status and owner</t>
        </is>
      </c>
    </row>
    <row r="5" ht="23.85" customHeight="1" s="10">
      <c r="A5" s="18" t="inlineStr">
        <is>
          <t>BR-04</t>
        </is>
      </c>
      <c r="B5" s="18" t="inlineStr">
        <is>
          <t>Routine follow-ups are automated</t>
        </is>
      </c>
      <c r="C5" s="18" t="inlineStr">
        <is>
          <t>Should</t>
        </is>
      </c>
      <c r="D5" s="18" t="inlineStr">
        <is>
          <t>OBJ-03</t>
        </is>
      </c>
      <c r="E5" s="18" t="inlineStr">
        <is>
          <t>Capture every enquiry in one traceable record with a clear next step</t>
        </is>
      </c>
      <c r="F5" s="18" t="inlineStr">
        <is>
          <t>Confirmations and reminders send without manual copying</t>
        </is>
      </c>
    </row>
    <row r="6" ht="23.85" customHeight="1" s="10">
      <c r="A6" s="18" t="inlineStr">
        <is>
          <t>BR-05</t>
        </is>
      </c>
      <c r="B6" s="18" t="inlineStr">
        <is>
          <t>Websites and campaigns are measurable, with consent</t>
        </is>
      </c>
      <c r="C6" s="18" t="inlineStr">
        <is>
          <t>Must</t>
        </is>
      </c>
      <c r="D6" s="18" t="inlineStr">
        <is>
          <t>OBJ-04</t>
        </is>
      </c>
      <c r="E6" s="18" t="inlineStr">
        <is>
          <t>Make marketing and website performance measurable</t>
        </is>
      </c>
      <c r="F6" s="18" t="inlineStr">
        <is>
          <t>Key actions are tracked in GA4 and tags load only after consent</t>
        </is>
      </c>
    </row>
    <row r="7">
      <c r="A7" s="18" t="inlineStr">
        <is>
          <t>BR-06</t>
        </is>
      </c>
      <c r="B7" s="18" t="inlineStr">
        <is>
          <t>Changes are tested with the owner before go-live</t>
        </is>
      </c>
      <c r="C7" s="18" t="inlineStr">
        <is>
          <t>Must</t>
        </is>
      </c>
      <c r="D7" s="18" t="inlineStr">
        <is>
          <t>OBJ-05</t>
        </is>
      </c>
      <c r="E7" s="18" t="inlineStr">
        <is>
          <t>Leave the owner able to run the solution after handover</t>
        </is>
      </c>
      <c r="F7" s="18" t="inlineStr">
        <is>
          <t>Agreed scenarios pass; issues are logged, fixed and retested</t>
        </is>
      </c>
    </row>
    <row r="8">
      <c r="A8" s="18" t="inlineStr">
        <is>
          <t>BR-07</t>
        </is>
      </c>
      <c r="B8" s="18" t="inlineStr">
        <is>
          <t>Owners can run the solution themselves</t>
        </is>
      </c>
      <c r="C8" s="18" t="inlineStr">
        <is>
          <t>Should</t>
        </is>
      </c>
      <c r="D8" s="18" t="inlineStr">
        <is>
          <t>OBJ-05</t>
        </is>
      </c>
      <c r="E8" s="18" t="inlineStr">
        <is>
          <t>Leave the owner able to run the solution after handover</t>
        </is>
      </c>
      <c r="F8" s="18" t="inlineStr">
        <is>
          <t>A handover guide and walkthrough are completed before sign-off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 min="1" max="1"/>
    <col width="11" customWidth="1" style="9" min="2" max="2"/>
    <col width="60" customWidth="1" style="9" min="3" max="3"/>
    <col width="55" customWidth="1" style="9" min="4" max="4"/>
  </cols>
  <sheetData>
    <row r="1" ht="15" customHeight="1" s="10">
      <c r="A1" s="17" t="inlineStr">
        <is>
          <t>ID</t>
        </is>
      </c>
      <c r="B1" s="17" t="inlineStr">
        <is>
          <t>Parent BR</t>
        </is>
      </c>
      <c r="C1" s="17" t="inlineStr">
        <is>
          <t>System behaviour</t>
        </is>
      </c>
      <c r="D1" s="17" t="inlineStr">
        <is>
          <t>Business rule or validation</t>
        </is>
      </c>
    </row>
    <row r="2" ht="23.85" customHeight="1" s="10">
      <c r="A2" s="18" t="inlineStr">
        <is>
          <t>FR-01</t>
        </is>
      </c>
      <c r="B2" s="18" t="inlineStr">
        <is>
          <t>BR-01</t>
        </is>
      </c>
      <c r="C2" s="18" t="inlineStr">
        <is>
          <t>Discovery template covering goal, users, current process and constraints</t>
        </is>
      </c>
      <c r="D2" s="18" t="inlineStr">
        <is>
          <t>Owner confirms the brief before any estimate</t>
        </is>
      </c>
    </row>
    <row r="3" ht="15" customHeight="1" s="10">
      <c r="A3" s="18" t="inlineStr">
        <is>
          <t>FR-02</t>
        </is>
      </c>
      <c r="B3" s="18" t="inlineStr">
        <is>
          <t>BR-02</t>
        </is>
      </c>
      <c r="C3" s="18" t="inlineStr">
        <is>
          <t>Prioritised backlog with MoSCoW labels and estimates</t>
        </is>
      </c>
      <c r="D3" s="18" t="inlineStr">
        <is>
          <t>Running total of Must items cannot exceed the budget</t>
        </is>
      </c>
    </row>
    <row r="4" ht="15" customHeight="1" s="10">
      <c r="A4" s="18" t="inlineStr">
        <is>
          <t>FR-03</t>
        </is>
      </c>
      <c r="B4" s="18" t="inlineStr">
        <is>
          <t>BR-03</t>
        </is>
      </c>
      <c r="C4" s="18" t="inlineStr">
        <is>
          <t>Website and landing-page forms write to one Airtable base</t>
        </is>
      </c>
      <c r="D4" s="18" t="inlineStr">
        <is>
          <t>Each record stores source channel, status and owner</t>
        </is>
      </c>
    </row>
    <row r="5" ht="23.85" customHeight="1" s="10">
      <c r="A5" s="18" t="inlineStr">
        <is>
          <t>FR-04</t>
        </is>
      </c>
      <c r="B5" s="18" t="inlineStr">
        <is>
          <t>BR-03</t>
        </is>
      </c>
      <c r="C5" s="18" t="inlineStr">
        <is>
          <t>Social and messaging enquiries logged through a quick-add form</t>
        </is>
      </c>
      <c r="D5" s="18" t="inlineStr">
        <is>
          <t>Duplicate contacts are flagged by email or phone</t>
        </is>
      </c>
    </row>
    <row r="6" ht="23.85" customHeight="1" s="10">
      <c r="A6" s="18" t="inlineStr">
        <is>
          <t>FR-05</t>
        </is>
      </c>
      <c r="B6" s="18" t="inlineStr">
        <is>
          <t>BR-04</t>
        </is>
      </c>
      <c r="C6" s="18" t="inlineStr">
        <is>
          <t>Make or Zapier scenarios send confirmations and reminders</t>
        </is>
      </c>
      <c r="D6" s="18" t="inlineStr">
        <is>
          <t>Failed automations alert the owner</t>
        </is>
      </c>
    </row>
    <row r="7" ht="23.85" customHeight="1" s="10">
      <c r="A7" s="18" t="inlineStr">
        <is>
          <t>FR-06</t>
        </is>
      </c>
      <c r="B7" s="18" t="inlineStr">
        <is>
          <t>BR-05</t>
        </is>
      </c>
      <c r="C7" s="18" t="inlineStr">
        <is>
          <t>GA4 events on calls to action, forms and purchases</t>
        </is>
      </c>
      <c r="D7" s="18" t="inlineStr">
        <is>
          <t>Tracking loads only after cookie consent</t>
        </is>
      </c>
    </row>
    <row r="8">
      <c r="A8" s="18" t="inlineStr">
        <is>
          <t>FR-07</t>
        </is>
      </c>
      <c r="B8" s="18" t="inlineStr">
        <is>
          <t>BR-06</t>
        </is>
      </c>
      <c r="C8" s="18" t="inlineStr">
        <is>
          <t>UAT checklist run with the owner on staging</t>
        </is>
      </c>
      <c r="D8" s="18" t="inlineStr">
        <is>
          <t>No go-live with an open high-severity issue</t>
        </is>
      </c>
    </row>
    <row r="9">
      <c r="A9" s="18" t="inlineStr">
        <is>
          <t>FR-08</t>
        </is>
      </c>
      <c r="B9" s="18" t="inlineStr">
        <is>
          <t>BR-07</t>
        </is>
      </c>
      <c r="C9" s="18" t="inlineStr">
        <is>
          <t>Handover guide and recorded admin walkthrough</t>
        </is>
      </c>
      <c r="D9" s="18" t="inlineStr">
        <is>
          <t>Owner completes one change unaided before sign-off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9" min="1" max="1"/>
    <col width="10" customWidth="1" style="9" min="2" max="2"/>
    <col width="22" customWidth="1" style="9" min="3" max="3"/>
    <col width="35" customWidth="1" style="9" min="4" max="5"/>
    <col width="30" customWidth="1" style="9" min="6" max="6"/>
    <col width="28" customWidth="1" style="9" min="7" max="7"/>
    <col width="40" customWidth="1" style="9" min="8" max="8"/>
  </cols>
  <sheetData>
    <row r="1" ht="26.85" customHeight="1" s="10">
      <c r="A1" s="17" t="inlineStr">
        <is>
          <t>ID</t>
        </is>
      </c>
      <c r="B1" s="17" t="inlineStr">
        <is>
          <t>Parent BR</t>
        </is>
      </c>
      <c r="C1" s="17" t="inlineStr">
        <is>
          <t>As a</t>
        </is>
      </c>
      <c r="D1" s="17" t="inlineStr">
        <is>
          <t>I want</t>
        </is>
      </c>
      <c r="E1" s="17" t="inlineStr">
        <is>
          <t>So that</t>
        </is>
      </c>
      <c r="F1" s="17" t="inlineStr">
        <is>
          <t>Given</t>
        </is>
      </c>
      <c r="G1" s="17" t="inlineStr">
        <is>
          <t>When</t>
        </is>
      </c>
      <c r="H1" s="17" t="inlineStr">
        <is>
          <t>Then</t>
        </is>
      </c>
    </row>
    <row r="2" ht="23.85" customHeight="1" s="10">
      <c r="A2" s="18" t="inlineStr">
        <is>
          <t>US-01</t>
        </is>
      </c>
      <c r="B2" s="18" t="inlineStr">
        <is>
          <t>BR-01</t>
        </is>
      </c>
      <c r="C2" s="18" t="inlineStr">
        <is>
          <t>a small-business owner</t>
        </is>
      </c>
      <c r="D2" s="18" t="inlineStr">
        <is>
          <t>to agree what success looks like before I pay for a build</t>
        </is>
      </c>
      <c r="E2" s="18" t="inlineStr">
        <is>
          <t>I get a website that grows the business, not just a new design</t>
        </is>
      </c>
      <c r="F2" s="18" t="inlineStr">
        <is>
          <t>I have asked for a new website</t>
        </is>
      </c>
      <c r="G2" s="18" t="inlineStr">
        <is>
          <t>the discovery session ends</t>
        </is>
      </c>
      <c r="H2" s="18" t="inlineStr">
        <is>
          <t>I have a written goal, success measure and prioritised scope</t>
        </is>
      </c>
    </row>
    <row r="3" ht="23.85" customHeight="1" s="10">
      <c r="A3" s="18" t="inlineStr">
        <is>
          <t>US-02</t>
        </is>
      </c>
      <c r="B3" s="18" t="inlineStr">
        <is>
          <t>BR-03</t>
        </is>
      </c>
      <c r="C3" s="18" t="inlineStr">
        <is>
          <t>a business owner</t>
        </is>
      </c>
      <c r="D3" s="18" t="inlineStr">
        <is>
          <t>every enquiry in one place with its next step</t>
        </is>
      </c>
      <c r="E3" s="18" t="inlineStr">
        <is>
          <t>no lead goes cold in my DMs</t>
        </is>
      </c>
      <c r="F3" s="18" t="inlineStr">
        <is>
          <t>an enquiry comes in through Instagram or the website</t>
        </is>
      </c>
      <c r="G3" s="18" t="inlineStr">
        <is>
          <t>I open my records</t>
        </is>
      </c>
      <c r="H3" s="18" t="inlineStr">
        <is>
          <t>it is there with its source, status and who owns the follow-up</t>
        </is>
      </c>
    </row>
    <row r="4" ht="23.85" customHeight="1" s="10">
      <c r="A4" s="18" t="inlineStr">
        <is>
          <t>US-03</t>
        </is>
      </c>
      <c r="B4" s="18" t="inlineStr">
        <is>
          <t>BR-05</t>
        </is>
      </c>
      <c r="C4" s="18" t="inlineStr">
        <is>
          <t>a business owner</t>
        </is>
      </c>
      <c r="D4" s="18" t="inlineStr">
        <is>
          <t>to see which channels bring customers</t>
        </is>
      </c>
      <c r="E4" s="18" t="inlineStr">
        <is>
          <t>I spend my marketing budget on what works</t>
        </is>
      </c>
      <c r="F4" s="18" t="inlineStr">
        <is>
          <t>campaigns are running</t>
        </is>
      </c>
      <c r="G4" s="18" t="inlineStr">
        <is>
          <t>I review the month</t>
        </is>
      </c>
      <c r="H4" s="18" t="inlineStr">
        <is>
          <t>I can see enquiries and sales by source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9" min="1" max="1"/>
    <col width="11" customWidth="1" style="9" min="2" max="2"/>
    <col width="10" customWidth="1" style="9" min="3" max="3"/>
    <col width="32" customWidth="1" style="9" min="4" max="6"/>
    <col width="22" customWidth="1" style="9" min="7" max="7"/>
    <col width="16" customWidth="1" style="9" min="8" max="8"/>
  </cols>
  <sheetData>
    <row r="1" ht="15" customHeight="1" s="10">
      <c r="A1" s="17" t="inlineStr">
        <is>
          <t>Stakeholder</t>
        </is>
      </c>
      <c r="B1" s="17" t="inlineStr">
        <is>
          <t>Influence</t>
        </is>
      </c>
      <c r="C1" s="17" t="inlineStr">
        <is>
          <t>Interest</t>
        </is>
      </c>
      <c r="D1" s="17" t="inlineStr">
        <is>
          <t>Primary interest</t>
        </is>
      </c>
      <c r="E1" s="17" t="inlineStr">
        <is>
          <t>Information need</t>
        </is>
      </c>
      <c r="F1" s="17" t="inlineStr">
        <is>
          <t>Method</t>
        </is>
      </c>
      <c r="G1" s="17" t="inlineStr">
        <is>
          <t>Cadence</t>
        </is>
      </c>
      <c r="H1" s="17" t="inlineStr">
        <is>
          <t>Approach</t>
        </is>
      </c>
    </row>
    <row r="2" ht="15" customHeight="1" s="10">
      <c r="A2" s="18" t="inlineStr">
        <is>
          <t>Business owners and founders</t>
        </is>
      </c>
      <c r="B2" s="18" t="inlineStr">
        <is>
          <t>High</t>
        </is>
      </c>
      <c r="C2" s="18" t="inlineStr">
        <is>
          <t>High</t>
        </is>
      </c>
      <c r="D2" s="18" t="inlineStr">
        <is>
          <t>Growth, cost and time</t>
        </is>
      </c>
      <c r="E2" s="18" t="inlineStr">
        <is>
          <t>Options, costs, progress and results</t>
        </is>
      </c>
      <c r="F2" s="18" t="inlineStr">
        <is>
          <t>Discovery workshop and weekly check-ins</t>
        </is>
      </c>
      <c r="G2" s="18" t="inlineStr">
        <is>
          <t>Weekly</t>
        </is>
      </c>
      <c r="H2" s="18" t="inlineStr">
        <is>
          <t>Manage closely</t>
        </is>
      </c>
    </row>
    <row r="3" ht="15" customHeight="1" s="10">
      <c r="A3" s="18" t="inlineStr">
        <is>
          <t>Client staff (sales, marketing, admin)</t>
        </is>
      </c>
      <c r="B3" s="18" t="inlineStr">
        <is>
          <t>Medium</t>
        </is>
      </c>
      <c r="C3" s="18" t="inlineStr">
        <is>
          <t>High</t>
        </is>
      </c>
      <c r="D3" s="18" t="inlineStr">
        <is>
          <t>Tools that save time</t>
        </is>
      </c>
      <c r="E3" s="18" t="inlineStr">
        <is>
          <t>New processes and how to use them</t>
        </is>
      </c>
      <c r="F3" s="18" t="inlineStr">
        <is>
          <t>Walkthroughs and handover guides</t>
        </is>
      </c>
      <c r="G3" s="18" t="inlineStr">
        <is>
          <t>Per release</t>
        </is>
      </c>
      <c r="H3" s="18" t="inlineStr">
        <is>
          <t>Keep informed</t>
        </is>
      </c>
    </row>
    <row r="4" ht="23.85" customHeight="1" s="10">
      <c r="A4" s="18" t="inlineStr">
        <is>
          <t>Customers of the business</t>
        </is>
      </c>
      <c r="B4" s="18" t="inlineStr">
        <is>
          <t>Low</t>
        </is>
      </c>
      <c r="C4" s="18" t="inlineStr">
        <is>
          <t>High</t>
        </is>
      </c>
      <c r="D4" s="18" t="inlineStr">
        <is>
          <t>Easy buying and quick replies</t>
        </is>
      </c>
      <c r="E4" s="18" t="inlineStr">
        <is>
          <t>Journey and communication</t>
        </is>
      </c>
      <c r="F4" s="18" t="inlineStr">
        <is>
          <t>Usability checks</t>
        </is>
      </c>
      <c r="G4" s="18" t="inlineStr">
        <is>
          <t>Per release</t>
        </is>
      </c>
      <c r="H4" s="18" t="inlineStr">
        <is>
          <t>Keep informed</t>
        </is>
      </c>
    </row>
    <row r="5" ht="15" customHeight="1" s="10">
      <c r="A5" s="18" t="inlineStr">
        <is>
          <t>Freelance designers and developers</t>
        </is>
      </c>
      <c r="B5" s="18" t="inlineStr">
        <is>
          <t>Medium</t>
        </is>
      </c>
      <c r="C5" s="18" t="inlineStr">
        <is>
          <t>Medium</t>
        </is>
      </c>
      <c r="D5" s="18" t="inlineStr">
        <is>
          <t>Clear, buildable requirements</t>
        </is>
      </c>
      <c r="E5" s="18" t="inlineStr">
        <is>
          <t>Acceptance criteria and priorities</t>
        </is>
      </c>
      <c r="F5" s="18" t="inlineStr">
        <is>
          <t>Backlog walkthrough</t>
        </is>
      </c>
      <c r="G5" s="18" t="inlineStr">
        <is>
          <t>Each sprint</t>
        </is>
      </c>
      <c r="H5" s="18" t="inlineStr">
        <is>
          <t>Keep satisfied</t>
        </is>
      </c>
    </row>
    <row r="6" ht="15" customHeight="1" s="10">
      <c r="A6" s="18" t="inlineStr">
        <is>
          <t>Platform providers</t>
        </is>
      </c>
      <c r="B6" s="18" t="inlineStr">
        <is>
          <t>Low</t>
        </is>
      </c>
      <c r="C6" s="18" t="inlineStr">
        <is>
          <t>Low</t>
        </is>
      </c>
      <c r="D6" s="18" t="inlineStr">
        <is>
          <t>Correct configuration</t>
        </is>
      </c>
      <c r="E6" s="18" t="inlineStr">
        <is>
          <t>Integration and account settings</t>
        </is>
      </c>
      <c r="F6" s="18" t="inlineStr">
        <is>
          <t>Provider documentation</t>
        </is>
      </c>
      <c r="G6" s="18" t="inlineStr">
        <is>
          <t>As needed</t>
        </is>
      </c>
      <c r="H6" s="18" t="inlineStr">
        <is>
          <t>Monitor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9" min="1" max="1"/>
    <col width="42" customWidth="1" style="9" min="2" max="2"/>
    <col width="10" customWidth="1" style="9" min="3" max="3"/>
    <col width="42" customWidth="1" style="9" min="4" max="4"/>
    <col width="22" customWidth="1" style="9" min="5" max="5"/>
  </cols>
  <sheetData>
    <row r="1" ht="15" customHeight="1" s="10">
      <c r="A1" s="17" t="inlineStr">
        <is>
          <t>ID</t>
        </is>
      </c>
      <c r="B1" s="17" t="inlineStr">
        <is>
          <t>Risk</t>
        </is>
      </c>
      <c r="C1" s="17" t="inlineStr">
        <is>
          <t>Severity</t>
        </is>
      </c>
      <c r="D1" s="17" t="inlineStr">
        <is>
          <t>Response</t>
        </is>
      </c>
      <c r="E1" s="17" t="inlineStr">
        <is>
          <t>Owner</t>
        </is>
      </c>
    </row>
    <row r="2" ht="23.85" customHeight="1" s="10">
      <c r="A2" s="18" t="inlineStr">
        <is>
          <t>R-01</t>
        </is>
      </c>
      <c r="B2" s="18" t="inlineStr">
        <is>
          <t>Scope grows beyond a fixed small-business budget</t>
        </is>
      </c>
      <c r="C2" s="18" t="inlineStr">
        <is>
          <t>High</t>
        </is>
      </c>
      <c r="D2" s="18" t="inlineStr">
        <is>
          <t>MoSCoW prioritisation and a change log agreed with the owner</t>
        </is>
      </c>
      <c r="E2" s="18" t="inlineStr">
        <is>
          <t>Business analyst</t>
        </is>
      </c>
    </row>
    <row r="3" ht="15" customHeight="1" s="10">
      <c r="A3" s="18" t="inlineStr">
        <is>
          <t>R-02</t>
        </is>
      </c>
      <c r="B3" s="18" t="inlineStr">
        <is>
          <t>Owner has little time for discovery and testing</t>
        </is>
      </c>
      <c r="C3" s="18" t="inlineStr">
        <is>
          <t>High</t>
        </is>
      </c>
      <c r="D3" s="18" t="inlineStr">
        <is>
          <t>Short, structured sessions and clear decision points</t>
        </is>
      </c>
      <c r="E3" s="18" t="inlineStr">
        <is>
          <t>Business analyst</t>
        </is>
      </c>
    </row>
    <row r="4" ht="15" customHeight="1" s="10">
      <c r="A4" s="18" t="inlineStr">
        <is>
          <t>R-03</t>
        </is>
      </c>
      <c r="B4" s="18" t="inlineStr">
        <is>
          <t>Tools are abandoned after handover</t>
        </is>
      </c>
      <c r="C4" s="18" t="inlineStr">
        <is>
          <t>Medium</t>
        </is>
      </c>
      <c r="D4" s="18" t="inlineStr">
        <is>
          <t>Simple tools, training and a written guide</t>
        </is>
      </c>
      <c r="E4" s="18" t="inlineStr">
        <is>
          <t>Business owner</t>
        </is>
      </c>
    </row>
    <row r="5" ht="15" customHeight="1" s="10">
      <c r="A5" s="18" t="inlineStr">
        <is>
          <t>R-04</t>
        </is>
      </c>
      <c r="B5" s="18" t="inlineStr">
        <is>
          <t>Poor data quality in legacy spreadsheets</t>
        </is>
      </c>
      <c r="C5" s="18" t="inlineStr">
        <is>
          <t>Medium</t>
        </is>
      </c>
      <c r="D5" s="18" t="inlineStr">
        <is>
          <t>Validation at intake and a one-off clean-up</t>
        </is>
      </c>
      <c r="E5" s="18" t="inlineStr">
        <is>
          <t>Business analyst</t>
        </is>
      </c>
    </row>
    <row r="6">
      <c r="A6" s="18" t="inlineStr">
        <is>
          <t>R-05</t>
        </is>
      </c>
      <c r="B6" s="18" t="inlineStr">
        <is>
          <t>Tracking set up without consent</t>
        </is>
      </c>
      <c r="C6" s="18" t="inlineStr">
        <is>
          <t>High</t>
        </is>
      </c>
      <c r="D6" s="18" t="inlineStr">
        <is>
          <t>Consent-gated tags checked in UAT</t>
        </is>
      </c>
      <c r="E6" s="18" t="inlineStr">
        <is>
          <t>Business analyst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9" min="1" max="1"/>
    <col width="12" customWidth="1" style="9" min="2" max="2"/>
    <col width="36" customWidth="1" style="9" min="3" max="3"/>
    <col width="34" customWidth="1" style="9" min="4" max="4"/>
    <col width="44" customWidth="1" style="9" min="5" max="5"/>
    <col width="26" customWidth="1" style="9" min="6" max="6"/>
  </cols>
  <sheetData>
    <row r="1" ht="26.85" customHeight="1" s="10">
      <c r="A1" s="17" t="inlineStr">
        <is>
          <t>Test ID</t>
        </is>
      </c>
      <c r="B1" s="17" t="inlineStr">
        <is>
          <t>Requirement</t>
        </is>
      </c>
      <c r="C1" s="17" t="inlineStr">
        <is>
          <t>Given</t>
        </is>
      </c>
      <c r="D1" s="17" t="inlineStr">
        <is>
          <t>When</t>
        </is>
      </c>
      <c r="E1" s="17" t="inlineStr">
        <is>
          <t>Then</t>
        </is>
      </c>
      <c r="F1" s="17" t="inlineStr">
        <is>
          <t>Status</t>
        </is>
      </c>
    </row>
    <row r="2" ht="23.85" customHeight="1" s="10">
      <c r="A2" s="18" t="inlineStr">
        <is>
          <t>UAT-01</t>
        </is>
      </c>
      <c r="B2" s="18" t="inlineStr">
        <is>
          <t>BR-01</t>
        </is>
      </c>
      <c r="C2" s="18" t="inlineStr">
        <is>
          <t>a new engagement</t>
        </is>
      </c>
      <c r="D2" s="18" t="inlineStr">
        <is>
          <t>discovery is complete</t>
        </is>
      </c>
      <c r="E2" s="18" t="inlineStr">
        <is>
          <t>the owner has signed off goal, measure and scope</t>
        </is>
      </c>
      <c r="F2" s="18" t="inlineStr">
        <is>
          <t>Passed</t>
        </is>
      </c>
    </row>
    <row r="3" ht="15" customHeight="1" s="10">
      <c r="A3" s="18" t="inlineStr">
        <is>
          <t>UAT-02</t>
        </is>
      </c>
      <c r="B3" s="18" t="inlineStr">
        <is>
          <t>BR-02</t>
        </is>
      </c>
      <c r="C3" s="18" t="inlineStr">
        <is>
          <t>a backlog over budget</t>
        </is>
      </c>
      <c r="D3" s="18" t="inlineStr">
        <is>
          <t>priorities are reviewed</t>
        </is>
      </c>
      <c r="E3" s="18" t="inlineStr">
        <is>
          <t>Must items fit the budget and the rest are recorded</t>
        </is>
      </c>
      <c r="F3" s="18" t="inlineStr">
        <is>
          <t>Passed</t>
        </is>
      </c>
    </row>
    <row r="4" ht="15" customHeight="1" s="10">
      <c r="A4" s="18" t="inlineStr">
        <is>
          <t>UAT-03</t>
        </is>
      </c>
      <c r="B4" s="18" t="inlineStr">
        <is>
          <t>BR-03</t>
        </is>
      </c>
      <c r="C4" s="18" t="inlineStr">
        <is>
          <t>an enquiry through the website form</t>
        </is>
      </c>
      <c r="D4" s="18" t="inlineStr">
        <is>
          <t>it is submitted</t>
        </is>
      </c>
      <c r="E4" s="18" t="inlineStr">
        <is>
          <t>a record appears with source, status and owner</t>
        </is>
      </c>
      <c r="F4" s="18" t="inlineStr">
        <is>
          <t>Passed</t>
        </is>
      </c>
    </row>
    <row r="5" ht="15" customHeight="1" s="10">
      <c r="A5" s="18" t="inlineStr">
        <is>
          <t>UAT-04</t>
        </is>
      </c>
      <c r="B5" s="18" t="inlineStr">
        <is>
          <t>BR-03</t>
        </is>
      </c>
      <c r="C5" s="18" t="inlineStr">
        <is>
          <t>the same customer enquires twice</t>
        </is>
      </c>
      <c r="D5" s="18" t="inlineStr">
        <is>
          <t>the second record is created</t>
        </is>
      </c>
      <c r="E5" s="18" t="inlineStr">
        <is>
          <t>it is flagged as a possible duplicate</t>
        </is>
      </c>
      <c r="F5" s="18" t="inlineStr">
        <is>
          <t>Passed</t>
        </is>
      </c>
    </row>
    <row r="6" ht="23.85" customHeight="1" s="10">
      <c r="A6" s="18" t="inlineStr">
        <is>
          <t>UAT-05</t>
        </is>
      </c>
      <c r="B6" s="18" t="inlineStr">
        <is>
          <t>BR-04</t>
        </is>
      </c>
      <c r="C6" s="18" t="inlineStr">
        <is>
          <t>a new enquiry</t>
        </is>
      </c>
      <c r="D6" s="18" t="inlineStr">
        <is>
          <t>the automation runs</t>
        </is>
      </c>
      <c r="E6" s="18" t="inlineStr">
        <is>
          <t>the customer receives a confirmation</t>
        </is>
      </c>
      <c r="F6" s="18" t="inlineStr">
        <is>
          <t>Passed</t>
        </is>
      </c>
    </row>
    <row r="7">
      <c r="A7" s="18" t="inlineStr">
        <is>
          <t>UAT-06</t>
        </is>
      </c>
      <c r="B7" s="18" t="inlineStr">
        <is>
          <t>BR-05</t>
        </is>
      </c>
      <c r="C7" s="18" t="inlineStr">
        <is>
          <t>a visitor who has not accepted cookies</t>
        </is>
      </c>
      <c r="D7" s="18" t="inlineStr">
        <is>
          <t>they browse the site</t>
        </is>
      </c>
      <c r="E7" s="18" t="inlineStr">
        <is>
          <t>no analytics tag loads</t>
        </is>
      </c>
      <c r="F7" s="18" t="inlineStr">
        <is>
          <t>Passed</t>
        </is>
      </c>
    </row>
    <row r="8">
      <c r="A8" s="18" t="inlineStr">
        <is>
          <t>UAT-07</t>
        </is>
      </c>
      <c r="B8" s="18" t="inlineStr">
        <is>
          <t>BR-07</t>
        </is>
      </c>
      <c r="C8" s="18" t="inlineStr">
        <is>
          <t>handover is complete</t>
        </is>
      </c>
      <c r="D8" s="18" t="inlineStr">
        <is>
          <t>the owner updates a page and a record alone</t>
        </is>
      </c>
      <c r="E8" s="18" t="inlineStr">
        <is>
          <t>both changes succeed</t>
        </is>
      </c>
      <c r="F8" s="18" t="inlineStr">
        <is>
          <t>Passed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9" min="1" max="2"/>
    <col width="26" customWidth="1" style="9" min="3" max="3"/>
    <col width="16" customWidth="1" style="9" min="4" max="4"/>
    <col width="22" customWidth="1" style="9" min="5" max="5"/>
    <col width="16" customWidth="1" style="9" min="6" max="6"/>
  </cols>
  <sheetData>
    <row r="1" ht="26.85" customHeight="1" s="10">
      <c r="A1" s="17" t="inlineStr">
        <is>
          <t>Requirement</t>
        </is>
      </c>
      <c r="B1" s="17" t="inlineStr">
        <is>
          <t>Objective ID</t>
        </is>
      </c>
      <c r="C1" s="17" t="inlineStr">
        <is>
          <t>Functional requirements</t>
        </is>
      </c>
      <c r="D1" s="17" t="inlineStr">
        <is>
          <t>User stories</t>
        </is>
      </c>
      <c r="E1" s="17" t="inlineStr">
        <is>
          <t>Test IDs</t>
        </is>
      </c>
      <c r="F1" s="17" t="inlineStr">
        <is>
          <t>Number of tests</t>
        </is>
      </c>
    </row>
    <row r="2" ht="15" customHeight="1" s="10">
      <c r="A2" s="18" t="inlineStr">
        <is>
          <t>BR-01</t>
        </is>
      </c>
      <c r="B2" s="18">
        <f>IFERROR(INDEX(Requirements!$D:$D,MATCH(A2,Requirements!$A:$A,0)),"")</f>
        <v/>
      </c>
      <c r="C2" s="18" t="inlineStr">
        <is>
          <t>FR-01</t>
        </is>
      </c>
      <c r="D2" s="18" t="inlineStr">
        <is>
          <t>US-01</t>
        </is>
      </c>
      <c r="E2" s="18" t="inlineStr">
        <is>
          <t>UAT-01</t>
        </is>
      </c>
      <c r="F2" s="18">
        <f>COUNTIF(UAT!$B:$B,A2)</f>
        <v/>
      </c>
    </row>
    <row r="3" ht="15" customHeight="1" s="10">
      <c r="A3" s="18" t="inlineStr">
        <is>
          <t>BR-02</t>
        </is>
      </c>
      <c r="B3" s="18">
        <f>IFERROR(INDEX(Requirements!$D:$D,MATCH(A3,Requirements!$A:$A,0)),"")</f>
        <v/>
      </c>
      <c r="C3" s="18" t="inlineStr">
        <is>
          <t>FR-02</t>
        </is>
      </c>
      <c r="D3" s="18" t="inlineStr">
        <is>
          <t>None</t>
        </is>
      </c>
      <c r="E3" s="18" t="inlineStr">
        <is>
          <t>UAT-02</t>
        </is>
      </c>
      <c r="F3" s="18">
        <f>COUNTIF(UAT!$B:$B,A3)</f>
        <v/>
      </c>
    </row>
    <row r="4" ht="15" customHeight="1" s="10">
      <c r="A4" s="18" t="inlineStr">
        <is>
          <t>BR-03</t>
        </is>
      </c>
      <c r="B4" s="18">
        <f>IFERROR(INDEX(Requirements!$D:$D,MATCH(A4,Requirements!$A:$A,0)),"")</f>
        <v/>
      </c>
      <c r="C4" s="18" t="inlineStr">
        <is>
          <t>FR-03, FR-04</t>
        </is>
      </c>
      <c r="D4" s="18" t="inlineStr">
        <is>
          <t>US-02</t>
        </is>
      </c>
      <c r="E4" s="18" t="inlineStr">
        <is>
          <t>UAT-03, UAT-04</t>
        </is>
      </c>
      <c r="F4" s="18">
        <f>COUNTIF(UAT!$B:$B,A4)</f>
        <v/>
      </c>
    </row>
    <row r="5" ht="15" customHeight="1" s="10">
      <c r="A5" s="18" t="inlineStr">
        <is>
          <t>BR-04</t>
        </is>
      </c>
      <c r="B5" s="18">
        <f>IFERROR(INDEX(Requirements!$D:$D,MATCH(A5,Requirements!$A:$A,0)),"")</f>
        <v/>
      </c>
      <c r="C5" s="18" t="inlineStr">
        <is>
          <t>FR-05</t>
        </is>
      </c>
      <c r="D5" s="18" t="inlineStr">
        <is>
          <t>None</t>
        </is>
      </c>
      <c r="E5" s="18" t="inlineStr">
        <is>
          <t>UAT-05</t>
        </is>
      </c>
      <c r="F5" s="18">
        <f>COUNTIF(UAT!$B:$B,A5)</f>
        <v/>
      </c>
    </row>
    <row r="6" ht="15" customHeight="1" s="10">
      <c r="A6" s="18" t="inlineStr">
        <is>
          <t>BR-05</t>
        </is>
      </c>
      <c r="B6" s="18">
        <f>IFERROR(INDEX(Requirements!$D:$D,MATCH(A6,Requirements!$A:$A,0)),"")</f>
        <v/>
      </c>
      <c r="C6" s="18" t="inlineStr">
        <is>
          <t>FR-06</t>
        </is>
      </c>
      <c r="D6" s="18" t="inlineStr">
        <is>
          <t>US-03</t>
        </is>
      </c>
      <c r="E6" s="18" t="inlineStr">
        <is>
          <t>UAT-06</t>
        </is>
      </c>
      <c r="F6" s="18">
        <f>COUNTIF(UAT!$B:$B,A6)</f>
        <v/>
      </c>
    </row>
    <row r="7">
      <c r="A7" s="18" t="inlineStr">
        <is>
          <t>BR-06</t>
        </is>
      </c>
      <c r="B7" s="18">
        <f>IFERROR(INDEX(Requirements!$D:$D,MATCH(A7,Requirements!$A:$A,0)),"")</f>
        <v/>
      </c>
      <c r="C7" s="18" t="inlineStr">
        <is>
          <t>FR-07</t>
        </is>
      </c>
      <c r="D7" s="18" t="inlineStr">
        <is>
          <t>None</t>
        </is>
      </c>
      <c r="E7" s="18" t="inlineStr">
        <is>
          <t>None</t>
        </is>
      </c>
      <c r="F7" s="18">
        <f>COUNTIF(UAT!$B:$B,A7)</f>
        <v/>
      </c>
    </row>
    <row r="8">
      <c r="A8" s="18" t="inlineStr">
        <is>
          <t>BR-07</t>
        </is>
      </c>
      <c r="B8" s="18">
        <f>IFERROR(INDEX(Requirements!$D:$D,MATCH(A8,Requirements!$A:$A,0)),"")</f>
        <v/>
      </c>
      <c r="C8" s="18" t="inlineStr">
        <is>
          <t>FR-08</t>
        </is>
      </c>
      <c r="D8" s="18" t="inlineStr">
        <is>
          <t>None</t>
        </is>
      </c>
      <c r="E8" s="18" t="inlineStr">
        <is>
          <t>UAT-07</t>
        </is>
      </c>
      <c r="F8" s="18">
        <f>COUNTIF(UAT!$B:$B,A8)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9" min="1" max="1"/>
    <col width="12" customWidth="1" style="9" min="2" max="2"/>
    <col width="38" customWidth="1" style="9" min="3" max="3"/>
    <col width="45" customWidth="1" style="9" min="4" max="4"/>
  </cols>
  <sheetData>
    <row r="1" ht="15" customHeight="1" s="10">
      <c r="A1" s="17" t="inlineStr">
        <is>
          <t>Field</t>
        </is>
      </c>
      <c r="B1" s="17" t="inlineStr">
        <is>
          <t>Type</t>
        </is>
      </c>
      <c r="C1" s="17" t="inlineStr">
        <is>
          <t>Definition</t>
        </is>
      </c>
      <c r="D1" s="17" t="inlineStr">
        <is>
          <t>Allowed values</t>
        </is>
      </c>
    </row>
    <row r="2" ht="15" customHeight="1" s="10">
      <c r="A2" s="18" t="inlineStr">
        <is>
          <t>lead_id</t>
        </is>
      </c>
      <c r="B2" s="18" t="inlineStr">
        <is>
          <t>Text</t>
        </is>
      </c>
      <c r="C2" s="18" t="inlineStr">
        <is>
          <t>Unique enquiry record</t>
        </is>
      </c>
      <c r="D2" s="18" t="inlineStr">
        <is>
          <t>Auto-generated ID</t>
        </is>
      </c>
    </row>
    <row r="3" ht="15" customHeight="1" s="10">
      <c r="A3" s="18" t="inlineStr">
        <is>
          <t>source_channel</t>
        </is>
      </c>
      <c r="B3" s="18" t="inlineStr">
        <is>
          <t>Category</t>
        </is>
      </c>
      <c r="C3" s="18" t="inlineStr">
        <is>
          <t>Where the enquiry came from</t>
        </is>
      </c>
      <c r="D3" s="18" t="inlineStr">
        <is>
          <t>Website, Instagram, WhatsApp, Referral, Ads</t>
        </is>
      </c>
    </row>
    <row r="4" ht="15" customHeight="1" s="10">
      <c r="A4" s="18" t="inlineStr">
        <is>
          <t>status</t>
        </is>
      </c>
      <c r="B4" s="18" t="inlineStr">
        <is>
          <t>Category</t>
        </is>
      </c>
      <c r="C4" s="18" t="inlineStr">
        <is>
          <t>Stage of the enquiry</t>
        </is>
      </c>
      <c r="D4" s="18" t="inlineStr">
        <is>
          <t>New, Contacted, Quoted, Won, Lost</t>
        </is>
      </c>
    </row>
    <row r="5" ht="15" customHeight="1" s="10">
      <c r="A5" s="18" t="inlineStr">
        <is>
          <t>owner</t>
        </is>
      </c>
      <c r="B5" s="18" t="inlineStr">
        <is>
          <t>Text</t>
        </is>
      </c>
      <c r="C5" s="18" t="inlineStr">
        <is>
          <t>Person responsible for the next step</t>
        </is>
      </c>
      <c r="D5" s="18" t="inlineStr">
        <is>
          <t>Named staff member</t>
        </is>
      </c>
    </row>
    <row r="6" ht="15" customHeight="1" s="10">
      <c r="A6" s="18" t="inlineStr">
        <is>
          <t>consent_status</t>
        </is>
      </c>
      <c r="B6" s="18" t="inlineStr">
        <is>
          <t>Category</t>
        </is>
      </c>
      <c r="C6" s="18" t="inlineStr">
        <is>
          <t>Marketing consent given</t>
        </is>
      </c>
      <c r="D6" s="18" t="inlineStr">
        <is>
          <t>Granted, Not granted</t>
        </is>
      </c>
    </row>
    <row r="7" ht="15" customHeight="1" s="10">
      <c r="A7" s="18" t="inlineStr">
        <is>
          <t>created_at</t>
        </is>
      </c>
      <c r="B7" s="18" t="inlineStr">
        <is>
          <t>Datetime</t>
        </is>
      </c>
      <c r="C7" s="18" t="inlineStr">
        <is>
          <t>When the enquiry arrived</t>
        </is>
      </c>
      <c r="D7" s="18" t="inlineStr">
        <is>
          <t>ISO 8601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2026-09-25T01:59:52Z</dcterms:created>
  <dcterms:modified xmlns:dcterms="http://purl.org/dc/terms/" xmlns:xsi="http://www.w3.org/2001/XMLSchema-instance" xsi:type="dcterms:W3CDTF">2026-09-25T06:25:17Z</dcterms:modified>
  <cp:revision>0</cp:revision>
</cp:coreProperties>
</file>