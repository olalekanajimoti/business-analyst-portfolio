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<sst xmlns="http://schemas.openxmlformats.org/spreadsheetml/2006/main" count="281" uniqueCount="202">
  <si>
    <t xml:space="preserve">The Ecommerce Boss Event Operations Automation</t>
  </si>
  <si>
    <t xml:space="preserve">Status</t>
  </si>
  <si>
    <t xml:space="preserve">Delivered across client engagements</t>
  </si>
  <si>
    <t xml:space="preserve">Domain</t>
  </si>
  <si>
    <t xml:space="preserve">E-commerce, events and digital services</t>
  </si>
  <si>
    <t xml:space="preserve">Role</t>
  </si>
  <si>
    <t xml:space="preserve">Founder and Lead Business Analyst</t>
  </si>
  <si>
    <t xml:space="preserve">Business problem</t>
  </si>
  <si>
    <t xml:space="preserve">Disconnected forms, spreadsheets and email exchanges caused duplicate entry, unclear ownership, inconsistent hand-offs and limited status visibility for client events.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</si>
  <si>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</si>
  <si>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</si>
  <si>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</si>
  <si>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</si>
  <si>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</si>
  <si>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</si>
  <si>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</si>
  <si>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</si>
  <si>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</si>
  <si>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</si>
  <si>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</si>
  <si>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"Passed"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</si>
  <si>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</si>
  <si>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</si>
  <si>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</si>
  <si>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</si>
  <si>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</si>
  <si>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</si>
  <si>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</si>
  <si>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</si>
  <si>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</si>
  <si>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Create one central operational record</t>
  </si>
  <si>
    <t xml:space="preserve">OBJ-02</t>
  </si>
  <si>
    <t xml:space="preserve">Automate repeat communications</t>
  </si>
  <si>
    <t xml:space="preserve">OBJ-03</t>
  </si>
  <si>
    <t xml:space="preserve">Make ownership and exceptions visible</t>
  </si>
  <si>
    <t xml:space="preserve">OBJ-04</t>
  </si>
  <si>
    <t xml:space="preserve">Select tools proportionate to client capacity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</si>
  <si>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</si>
  <si>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</si>
  <si>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</si>
  <si>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</si>
  <si>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</si>
  <si>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Submissions create one central record</t>
  </si>
  <si>
    <t xml:space="preserve">Must</t>
  </si>
  <si>
    <t xml:space="preserve">No manual re-entry; each submission has a unique ID</t>
  </si>
  <si>
    <t xml:space="preserve">BR-02</t>
  </si>
  <si>
    <t xml:space="preserve">Approved decisions trigger consistent communication</t>
  </si>
  <si>
    <t xml:space="preserve">Message is sent and record status updates together</t>
  </si>
  <si>
    <t xml:space="preserve">BR-03</t>
  </si>
  <si>
    <t xml:space="preserve">Ownership and status are visible for every record</t>
  </si>
  <si>
    <t xml:space="preserve">Every active record has an owner and a state</t>
  </si>
  <si>
    <t xml:space="preserve">BR-04</t>
  </si>
  <si>
    <t xml:space="preserve">Failed automations are visible and recoverable</t>
  </si>
  <si>
    <t xml:space="preserve">Should</t>
  </si>
  <si>
    <t xml:space="preserve">Failures enter an exception queue with a reason</t>
  </si>
  <si>
    <t xml:space="preserve">BR-05</t>
  </si>
  <si>
    <t xml:space="preserve">Solution option matches client operating capacity</t>
  </si>
  <si>
    <t xml:space="preserve">Option assessment records cost, feasibility and admin effort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</si>
  <si>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</si>
  <si>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</si>
  <si>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</si>
  <si>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</si>
  <si>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Form submission creates an Airtable record with a unique ID</t>
  </si>
  <si>
    <t xml:space="preserve">Duplicate email and event combination is flagged</t>
  </si>
  <si>
    <t xml:space="preserve">FR-02</t>
  </si>
  <si>
    <t xml:space="preserve">Status change to Approved triggers the approved template</t>
  </si>
  <si>
    <t xml:space="preserve">Template choice depends on record type</t>
  </si>
  <si>
    <t xml:space="preserve">FR-03</t>
  </si>
  <si>
    <t xml:space="preserve">Record view shows owner, status and next action</t>
  </si>
  <si>
    <t xml:space="preserve">Records without owner appear in an unassigned view</t>
  </si>
  <si>
    <t xml:space="preserve">FR-04</t>
  </si>
  <si>
    <t xml:space="preserve">Automation errors write to an exception table with reason and time</t>
  </si>
  <si>
    <t xml:space="preserve">Exceptions older than 48 hours are highlighted</t>
  </si>
  <si>
    <t xml:space="preserve">FR-05</t>
  </si>
  <si>
    <t xml:space="preserve">Options matrix scores manual, plug-in and automated approaches</t>
  </si>
  <si>
    <t xml:space="preserve">Scored on cost, feasibility, data quality and admin effort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</si>
  <si>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</si>
  <si>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</si>
  <si>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</si>
  <si>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</si>
  <si>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</si>
  <si>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</si>
  <si>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</si>
  <si>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event operations assistant</t>
  </si>
  <si>
    <t xml:space="preserve">submissions to arrive as records automatically</t>
  </si>
  <si>
    <t xml:space="preserve">I stop copying data between tools</t>
  </si>
  <si>
    <t xml:space="preserve">an applicant submits the form</t>
  </si>
  <si>
    <t xml:space="preserve">the submission is received</t>
  </si>
  <si>
    <t xml:space="preserve">one record with a unique ID is created</t>
  </si>
  <si>
    <t xml:space="preserve">US-02</t>
  </si>
  <si>
    <t xml:space="preserve">client lead</t>
  </si>
  <si>
    <t xml:space="preserve">to see failed messages in one place</t>
  </si>
  <si>
    <t xml:space="preserve">no applicant is left without a reply</t>
  </si>
  <si>
    <t xml:space="preserve">an email step fails</t>
  </si>
  <si>
    <t xml:space="preserve">the automation runs</t>
  </si>
  <si>
    <t xml:space="preserve">the record appears in the exception queue with the reason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</si>
  <si>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</si>
  <si>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</si>
  <si>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</si>
  <si>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</si>
  <si>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</si>
  <si>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</si>
  <si>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</si>
  <si>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</si>
  <si>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Event or client lead</t>
  </si>
  <si>
    <t xml:space="preserve">High</t>
  </si>
  <si>
    <t xml:space="preserve">Cost, control and status</t>
  </si>
  <si>
    <t xml:space="preserve">Status, exceptions, costs</t>
  </si>
  <si>
    <t xml:space="preserve">Status review and options paper</t>
  </si>
  <si>
    <t xml:space="preserve">Weekly</t>
  </si>
  <si>
    <t xml:space="preserve">Manage closely</t>
  </si>
  <si>
    <t xml:space="preserve">Operations team</t>
  </si>
  <si>
    <t xml:space="preserve">Medium</t>
  </si>
  <si>
    <t xml:space="preserve">Usability and exceptions</t>
  </si>
  <si>
    <t xml:space="preserve">How-to guides, exception queue</t>
  </si>
  <si>
    <t xml:space="preserve">Walkthrough and handover guide</t>
  </si>
  <si>
    <t xml:space="preserve">At handover and on change</t>
  </si>
  <si>
    <t xml:space="preserve">Keep informed</t>
  </si>
  <si>
    <t xml:space="preserve">Applicants and customers</t>
  </si>
  <si>
    <t xml:space="preserve">Low</t>
  </si>
  <si>
    <t xml:space="preserve">Clear communication</t>
  </si>
  <si>
    <t xml:space="preserve">Confirmation, decision, next steps</t>
  </si>
  <si>
    <t xml:space="preserve">Automated email</t>
  </si>
  <si>
    <t xml:space="preserve">At each status change</t>
  </si>
  <si>
    <t xml:space="preserve">Developers and providers</t>
  </si>
  <si>
    <t xml:space="preserve">Integration requirements</t>
  </si>
  <si>
    <t xml:space="preserve">Field maps, triggers</t>
  </si>
  <si>
    <t xml:space="preserve">Technical brief</t>
  </si>
  <si>
    <t xml:space="preserve">Per build cycle</t>
  </si>
  <si>
    <t xml:space="preserve">Monitor</t>
  </si>
  <si>
    <t xml:space="preserve">Marketing team</t>
  </si>
  <si>
    <t xml:space="preserve">Audience and campaign data</t>
  </si>
  <si>
    <t xml:space="preserve">Registration counts by source</t>
  </si>
  <si>
    <t xml:space="preserve">Dashboard view</t>
  </si>
  <si>
    <t xml:space="preserve">Weekly during campaign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</si>
  <si>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</si>
  <si>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</si>
  <si>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</si>
  <si>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</si>
  <si>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</si>
  <si>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Duplicate records</t>
  </si>
  <si>
    <t xml:space="preserve">Unique IDs and duplicate flags</t>
  </si>
  <si>
    <t xml:space="preserve">Business analyst</t>
  </si>
  <si>
    <t xml:space="preserve">R-02</t>
  </si>
  <si>
    <t xml:space="preserve">Automation sends the wrong message</t>
  </si>
  <si>
    <t xml:space="preserve">Trigger tests and approved templates</t>
  </si>
  <si>
    <t xml:space="preserve">R-03</t>
  </si>
  <si>
    <t xml:space="preserve">Client cannot maintain the solution</t>
  </si>
  <si>
    <t xml:space="preserve">Options assessment and handover guide</t>
  </si>
  <si>
    <t xml:space="preserve">Client lead</t>
  </si>
  <si>
    <t xml:space="preserve">R-04</t>
  </si>
  <si>
    <t xml:space="preserve">Failures go unnoticed</t>
  </si>
  <si>
    <t xml:space="preserve">Exception queue and ageing highlight</t>
  </si>
  <si>
    <t xml:space="preserve">Operations lead</t>
  </si>
  <si>
    <t xml:space="preserve">Test ID</t>
  </si>
  <si>
    <t xml:space="preserve">UAT-01</t>
  </si>
  <si>
    <t xml:space="preserve">a new form submission</t>
  </si>
  <si>
    <t xml:space="preserve">the workflow runs</t>
  </si>
  <si>
    <t xml:space="preserve">Passed</t>
  </si>
  <si>
    <t xml:space="preserve">UAT-02</t>
  </si>
  <si>
    <t xml:space="preserve">a vendor record</t>
  </si>
  <si>
    <t xml:space="preserve">status changes to Approved</t>
  </si>
  <si>
    <t xml:space="preserve">the vendor approval template is sent once and logged</t>
  </si>
  <si>
    <t xml:space="preserve">UAT-03</t>
  </si>
  <si>
    <t xml:space="preserve">a record with no owner</t>
  </si>
  <si>
    <t xml:space="preserve">the operations view is opened</t>
  </si>
  <si>
    <t xml:space="preserve">it appears in the unassigned view</t>
  </si>
  <si>
    <t xml:space="preserve">UAT-04</t>
  </si>
  <si>
    <t xml:space="preserve">the email step is forced to fail</t>
  </si>
  <si>
    <t xml:space="preserve">an exception with reason and time is created</t>
  </si>
  <si>
    <t xml:space="preserve">UAT-05</t>
  </si>
  <si>
    <t xml:space="preserve">three solution options</t>
  </si>
  <si>
    <t xml:space="preserve">the matrix is completed with the client</t>
  </si>
  <si>
    <t xml:space="preserve">a recommended option with scores is recorded</t>
  </si>
  <si>
    <t xml:space="preserve">User stories</t>
  </si>
  <si>
    <t xml:space="preserve">Test IDs</t>
  </si>
  <si>
    <t xml:space="preserve">Number of tests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</si>
  <si>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</si>
  <si>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</si>
  <si>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</si>
  <si>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</si>
  <si>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</si>
  <si>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record_id</t>
  </si>
  <si>
    <t xml:space="preserve">Text</t>
  </si>
  <si>
    <t xml:space="preserve">Unique workflow record</t>
  </si>
  <si>
    <t xml:space="preserve">REC-0001 format</t>
  </si>
  <si>
    <t xml:space="preserve">record_type</t>
  </si>
  <si>
    <t xml:space="preserve">Category</t>
  </si>
  <si>
    <t xml:space="preserve">Submission type</t>
  </si>
  <si>
    <t xml:space="preserve">Registration, Vendor, Volunteer, Lead</t>
  </si>
  <si>
    <t xml:space="preserve">status</t>
  </si>
  <si>
    <t xml:space="preserve">Workflow state</t>
  </si>
  <si>
    <t xml:space="preserve">New, In review, Approved, Declined, Closed</t>
  </si>
  <si>
    <t xml:space="preserve">owner</t>
  </si>
  <si>
    <t xml:space="preserve">Responsible team member</t>
  </si>
  <si>
    <t xml:space="preserve">Named person</t>
  </si>
  <si>
    <t xml:space="preserve">communication_status</t>
  </si>
  <si>
    <t xml:space="preserve">Message state</t>
  </si>
  <si>
    <t xml:space="preserve">Pending, Sent, Failed</t>
  </si>
  <si>
    <t xml:space="preserve">exception_reason</t>
  </si>
  <si>
    <t xml:space="preserve">Why manual action is needed</t>
  </si>
  <si>
    <t xml:space="preserve">Free text from automation log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</si>
</sst>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5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3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2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5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5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COUNTIF(UAT!F2:F200,"Passed")</f>
        <v>5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3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5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Create one central operational record</v>
      </c>
      <c r="F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31</v>
      </c>
      <c r="E3" s="8" t="str">
        <f aca="false">IFERROR(INDEX(Objectives!$B:$B,MATCH(D3,Objectives!$A:$A,0)),"Check objective ID")</f>
        <v>Automate repeat communications</v>
      </c>
      <c r="F3" s="8" t="s">
        <v>47</v>
      </c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33</v>
      </c>
      <c r="E4" s="8" t="str">
        <f aca="false">IFERROR(INDEX(Objectives!$B:$B,MATCH(D4,Objectives!$A:$A,0)),"Check objective ID")</f>
        <v>Make ownership and exceptions visible</v>
      </c>
      <c r="F4" s="8" t="s">
        <v>50</v>
      </c>
    </row>
    <row r="5" customFormat="false" ht="1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33</v>
      </c>
      <c r="E5" s="8" t="str">
        <f aca="false">IFERROR(INDEX(Objectives!$B:$B,MATCH(D5,Objectives!$A:$A,0)),"Check objective ID")</f>
        <v>Make ownership and exceptions visible</v>
      </c>
      <c r="F5" s="8" t="s">
        <v>54</v>
      </c>
    </row>
    <row r="6" customFormat="false" ht="15" hidden="false" customHeight="false" outlineLevel="0" collapsed="false">
      <c r="A6" s="8" t="s">
        <v>55</v>
      </c>
      <c r="B6" s="8" t="s">
        <v>56</v>
      </c>
      <c r="C6" s="8" t="s">
        <v>53</v>
      </c>
      <c r="D6" s="8" t="s">
        <v>35</v>
      </c>
      <c r="E6" s="8" t="str">
        <f aca="false">IFERROR(INDEX(Objectives!$B:$B,MATCH(D6,Objectives!$A:$A,0)),"Check objective ID")</f>
        <v>Select tools proportionate to client capacity</v>
      </c>
      <c r="F6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58</v>
      </c>
      <c r="C1" s="7" t="s">
        <v>59</v>
      </c>
      <c r="D1" s="7" t="s">
        <v>60</v>
      </c>
    </row>
    <row r="2" customFormat="false" ht="15" hidden="false" customHeight="false" outlineLevel="0" collapsed="false">
      <c r="A2" s="8" t="s">
        <v>61</v>
      </c>
      <c r="B2" s="8" t="s">
        <v>41</v>
      </c>
      <c r="C2" s="8" t="s">
        <v>62</v>
      </c>
      <c r="D2" s="8" t="s">
        <v>63</v>
      </c>
    </row>
    <row r="3" customFormat="false" ht="15" hidden="false" customHeight="false" outlineLevel="0" collapsed="false">
      <c r="A3" s="8" t="s">
        <v>64</v>
      </c>
      <c r="B3" s="8" t="s">
        <v>45</v>
      </c>
      <c r="C3" s="8" t="s">
        <v>65</v>
      </c>
      <c r="D3" s="8" t="s">
        <v>66</v>
      </c>
    </row>
    <row r="4" customFormat="false" ht="15" hidden="false" customHeight="false" outlineLevel="0" collapsed="false">
      <c r="A4" s="8" t="s">
        <v>67</v>
      </c>
      <c r="B4" s="8" t="s">
        <v>48</v>
      </c>
      <c r="C4" s="8" t="s">
        <v>68</v>
      </c>
      <c r="D4" s="8" t="s">
        <v>69</v>
      </c>
    </row>
    <row r="5" customFormat="false" ht="15" hidden="false" customHeight="false" outlineLevel="0" collapsed="false">
      <c r="A5" s="8" t="s">
        <v>70</v>
      </c>
      <c r="B5" s="8" t="s">
        <v>51</v>
      </c>
      <c r="C5" s="8" t="s">
        <v>71</v>
      </c>
      <c r="D5" s="8" t="s">
        <v>72</v>
      </c>
    </row>
    <row r="6" customFormat="false" ht="15" hidden="false" customHeight="false" outlineLevel="0" collapsed="false">
      <c r="A6" s="8" t="s">
        <v>73</v>
      </c>
      <c r="B6" s="8" t="s">
        <v>55</v>
      </c>
      <c r="C6" s="8" t="s">
        <v>74</v>
      </c>
      <c r="D6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58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</row>
    <row r="2" customFormat="false" ht="23.85" hidden="false" customHeight="false" outlineLevel="0" collapsed="false">
      <c r="A2" s="8" t="s">
        <v>82</v>
      </c>
      <c r="B2" s="8" t="s">
        <v>41</v>
      </c>
      <c r="C2" s="8" t="s">
        <v>83</v>
      </c>
      <c r="D2" s="8" t="s">
        <v>84</v>
      </c>
      <c r="E2" s="8" t="s">
        <v>85</v>
      </c>
      <c r="F2" s="8" t="s">
        <v>86</v>
      </c>
      <c r="G2" s="8" t="s">
        <v>87</v>
      </c>
      <c r="H2" s="8" t="s">
        <v>88</v>
      </c>
    </row>
    <row r="3" customFormat="false" ht="23.85" hidden="false" customHeight="false" outlineLevel="0" collapsed="false">
      <c r="A3" s="8" t="s">
        <v>89</v>
      </c>
      <c r="B3" s="8" t="s">
        <v>51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98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</row>
    <row r="2" customFormat="false" ht="15" hidden="false" customHeight="false" outlineLevel="0" collapsed="false">
      <c r="A2" s="8" t="s">
        <v>104</v>
      </c>
      <c r="B2" s="8" t="s">
        <v>105</v>
      </c>
      <c r="C2" s="8" t="s">
        <v>105</v>
      </c>
      <c r="D2" s="8" t="s">
        <v>106</v>
      </c>
      <c r="E2" s="8" t="s">
        <v>107</v>
      </c>
      <c r="F2" s="8" t="s">
        <v>108</v>
      </c>
      <c r="G2" s="8" t="s">
        <v>109</v>
      </c>
      <c r="H2" s="8" t="s">
        <v>110</v>
      </c>
    </row>
    <row r="3" customFormat="false" ht="23.85" hidden="false" customHeight="false" outlineLevel="0" collapsed="false">
      <c r="A3" s="8" t="s">
        <v>111</v>
      </c>
      <c r="B3" s="8" t="s">
        <v>112</v>
      </c>
      <c r="C3" s="8" t="s">
        <v>105</v>
      </c>
      <c r="D3" s="8" t="s">
        <v>113</v>
      </c>
      <c r="E3" s="8" t="s">
        <v>114</v>
      </c>
      <c r="F3" s="8" t="s">
        <v>115</v>
      </c>
      <c r="G3" s="8" t="s">
        <v>116</v>
      </c>
      <c r="H3" s="8" t="s">
        <v>117</v>
      </c>
    </row>
    <row r="4" customFormat="false" ht="15" hidden="false" customHeight="false" outlineLevel="0" collapsed="false">
      <c r="A4" s="8" t="s">
        <v>118</v>
      </c>
      <c r="B4" s="8" t="s">
        <v>119</v>
      </c>
      <c r="C4" s="8" t="s">
        <v>105</v>
      </c>
      <c r="D4" s="8" t="s">
        <v>120</v>
      </c>
      <c r="E4" s="8" t="s">
        <v>121</v>
      </c>
      <c r="F4" s="8" t="s">
        <v>122</v>
      </c>
      <c r="G4" s="8" t="s">
        <v>123</v>
      </c>
      <c r="H4" s="8" t="s">
        <v>117</v>
      </c>
    </row>
    <row r="5" customFormat="false" ht="15" hidden="false" customHeight="false" outlineLevel="0" collapsed="false">
      <c r="A5" s="8" t="s">
        <v>124</v>
      </c>
      <c r="B5" s="8" t="s">
        <v>112</v>
      </c>
      <c r="C5" s="8" t="s">
        <v>112</v>
      </c>
      <c r="D5" s="8" t="s">
        <v>125</v>
      </c>
      <c r="E5" s="8" t="s">
        <v>126</v>
      </c>
      <c r="F5" s="8" t="s">
        <v>127</v>
      </c>
      <c r="G5" s="8" t="s">
        <v>128</v>
      </c>
      <c r="H5" s="8" t="s">
        <v>129</v>
      </c>
    </row>
    <row r="6" customFormat="false" ht="15" hidden="false" customHeight="false" outlineLevel="0" collapsed="false">
      <c r="A6" s="8" t="s">
        <v>130</v>
      </c>
      <c r="B6" s="8" t="s">
        <v>112</v>
      </c>
      <c r="C6" s="8" t="s">
        <v>112</v>
      </c>
      <c r="D6" s="8" t="s">
        <v>131</v>
      </c>
      <c r="E6" s="8" t="s">
        <v>132</v>
      </c>
      <c r="F6" s="8" t="s">
        <v>133</v>
      </c>
      <c r="G6" s="8" t="s">
        <v>134</v>
      </c>
      <c r="H6" s="8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135</v>
      </c>
      <c r="C1" s="7" t="s">
        <v>136</v>
      </c>
      <c r="D1" s="7" t="s">
        <v>137</v>
      </c>
      <c r="E1" s="7" t="s">
        <v>138</v>
      </c>
    </row>
    <row r="2" customFormat="false" ht="15" hidden="false" customHeight="false" outlineLevel="0" collapsed="false">
      <c r="A2" s="8" t="s">
        <v>139</v>
      </c>
      <c r="B2" s="8" t="s">
        <v>140</v>
      </c>
      <c r="C2" s="8" t="s">
        <v>105</v>
      </c>
      <c r="D2" s="8" t="s">
        <v>141</v>
      </c>
      <c r="E2" s="8" t="s">
        <v>142</v>
      </c>
    </row>
    <row r="3" customFormat="false" ht="15" hidden="false" customHeight="false" outlineLevel="0" collapsed="false">
      <c r="A3" s="8" t="s">
        <v>143</v>
      </c>
      <c r="B3" s="8" t="s">
        <v>144</v>
      </c>
      <c r="C3" s="8" t="s">
        <v>105</v>
      </c>
      <c r="D3" s="8" t="s">
        <v>145</v>
      </c>
      <c r="E3" s="8" t="s">
        <v>142</v>
      </c>
    </row>
    <row r="4" customFormat="false" ht="15" hidden="false" customHeight="false" outlineLevel="0" collapsed="false">
      <c r="A4" s="8" t="s">
        <v>146</v>
      </c>
      <c r="B4" s="8" t="s">
        <v>147</v>
      </c>
      <c r="C4" s="8" t="s">
        <v>112</v>
      </c>
      <c r="D4" s="8" t="s">
        <v>148</v>
      </c>
      <c r="E4" s="8" t="s">
        <v>149</v>
      </c>
    </row>
    <row r="5" customFormat="false" ht="15" hidden="false" customHeight="false" outlineLevel="0" collapsed="false">
      <c r="A5" s="8" t="s">
        <v>150</v>
      </c>
      <c r="B5" s="8" t="s">
        <v>151</v>
      </c>
      <c r="C5" s="8" t="s">
        <v>105</v>
      </c>
      <c r="D5" s="8" t="s">
        <v>152</v>
      </c>
      <c r="E5" s="8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154</v>
      </c>
      <c r="B1" s="7" t="s">
        <v>38</v>
      </c>
      <c r="C1" s="7" t="s">
        <v>79</v>
      </c>
      <c r="D1" s="7" t="s">
        <v>80</v>
      </c>
      <c r="E1" s="7" t="s">
        <v>81</v>
      </c>
      <c r="F1" s="7" t="s">
        <v>1</v>
      </c>
    </row>
    <row r="2" customFormat="false" ht="15" hidden="false" customHeight="false" outlineLevel="0" collapsed="false">
      <c r="A2" s="8" t="s">
        <v>155</v>
      </c>
      <c r="B2" s="8" t="s">
        <v>41</v>
      </c>
      <c r="C2" s="8" t="s">
        <v>156</v>
      </c>
      <c r="D2" s="8" t="s">
        <v>157</v>
      </c>
      <c r="E2" s="8" t="s">
        <v>88</v>
      </c>
      <c r="F2" s="8" t="s">
        <v>158</v>
      </c>
    </row>
    <row r="3" customFormat="false" ht="15" hidden="false" customHeight="false" outlineLevel="0" collapsed="false">
      <c r="A3" s="8" t="s">
        <v>159</v>
      </c>
      <c r="B3" s="8" t="s">
        <v>45</v>
      </c>
      <c r="C3" s="8" t="s">
        <v>160</v>
      </c>
      <c r="D3" s="8" t="s">
        <v>161</v>
      </c>
      <c r="E3" s="8" t="s">
        <v>162</v>
      </c>
      <c r="F3" s="8" t="s">
        <v>158</v>
      </c>
    </row>
    <row r="4" customFormat="false" ht="15" hidden="false" customHeight="false" outlineLevel="0" collapsed="false">
      <c r="A4" s="8" t="s">
        <v>163</v>
      </c>
      <c r="B4" s="8" t="s">
        <v>48</v>
      </c>
      <c r="C4" s="8" t="s">
        <v>164</v>
      </c>
      <c r="D4" s="8" t="s">
        <v>165</v>
      </c>
      <c r="E4" s="8" t="s">
        <v>166</v>
      </c>
      <c r="F4" s="8" t="s">
        <v>158</v>
      </c>
    </row>
    <row r="5" customFormat="false" ht="15" hidden="false" customHeight="false" outlineLevel="0" collapsed="false">
      <c r="A5" s="8" t="s">
        <v>167</v>
      </c>
      <c r="B5" s="8" t="s">
        <v>51</v>
      </c>
      <c r="C5" s="8" t="s">
        <v>168</v>
      </c>
      <c r="D5" s="8" t="s">
        <v>94</v>
      </c>
      <c r="E5" s="8" t="s">
        <v>169</v>
      </c>
      <c r="F5" s="8" t="s">
        <v>158</v>
      </c>
    </row>
    <row r="6" customFormat="false" ht="15" hidden="false" customHeight="false" outlineLevel="0" collapsed="false">
      <c r="A6" s="8" t="s">
        <v>170</v>
      </c>
      <c r="B6" s="8" t="s">
        <v>55</v>
      </c>
      <c r="C6" s="8" t="s">
        <v>171</v>
      </c>
      <c r="D6" s="8" t="s">
        <v>172</v>
      </c>
      <c r="E6" s="8" t="s">
        <v>173</v>
      </c>
      <c r="F6" s="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174</v>
      </c>
      <c r="E1" s="7" t="s">
        <v>175</v>
      </c>
      <c r="F1" s="7" t="s">
        <v>176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61</v>
      </c>
      <c r="D2" s="8" t="s">
        <v>82</v>
      </c>
      <c r="E2" s="8" t="s">
        <v>155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OBJ-02</v>
      </c>
      <c r="C3" s="8" t="s">
        <v>64</v>
      </c>
      <c r="D3" s="8" t="s">
        <v>177</v>
      </c>
      <c r="E3" s="8" t="s">
        <v>159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OBJ-03</v>
      </c>
      <c r="C4" s="8" t="s">
        <v>67</v>
      </c>
      <c r="D4" s="8" t="s">
        <v>177</v>
      </c>
      <c r="E4" s="8" t="s">
        <v>163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51</v>
      </c>
      <c r="B5" s="8" t="str">
        <f aca="false">IFERROR(INDEX(Requirements!$D:$D,MATCH(A5,Requirements!$A:$A,0)),"")</f>
        <v>OBJ-03</v>
      </c>
      <c r="C5" s="8" t="s">
        <v>70</v>
      </c>
      <c r="D5" s="8" t="s">
        <v>89</v>
      </c>
      <c r="E5" s="8" t="s">
        <v>167</v>
      </c>
      <c r="F5" s="8" t="n">
        <f aca="false">COUNTIF(UAT!$B:$B,A5)</f>
        <v>1</v>
      </c>
    </row>
    <row r="6" customFormat="false" ht="15" hidden="false" customHeight="false" outlineLevel="0" collapsed="false">
      <c r="A6" s="8" t="s">
        <v>55</v>
      </c>
      <c r="B6" s="8" t="str">
        <f aca="false">IFERROR(INDEX(Requirements!$D:$D,MATCH(A6,Requirements!$A:$A,0)),"")</f>
        <v>OBJ-04</v>
      </c>
      <c r="C6" s="8" t="s">
        <v>73</v>
      </c>
      <c r="D6" s="8" t="s">
        <v>177</v>
      </c>
      <c r="E6" s="8" t="s">
        <v>170</v>
      </c>
      <c r="F6" s="8" t="n">
        <f aca="false">COUNTIF(UAT!$B:$B,A6)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178</v>
      </c>
      <c r="B1" s="7" t="s">
        <v>179</v>
      </c>
      <c r="C1" s="7" t="s">
        <v>180</v>
      </c>
      <c r="D1" s="7" t="s">
        <v>181</v>
      </c>
    </row>
    <row r="2" customFormat="false" ht="15" hidden="false" customHeight="false" outlineLevel="0" collapsed="false">
      <c r="A2" s="8" t="s">
        <v>182</v>
      </c>
      <c r="B2" s="8" t="s">
        <v>183</v>
      </c>
      <c r="C2" s="8" t="s">
        <v>184</v>
      </c>
      <c r="D2" s="8" t="s">
        <v>185</v>
      </c>
    </row>
    <row r="3" customFormat="false" ht="15" hidden="false" customHeight="false" outlineLevel="0" collapsed="false">
      <c r="A3" s="8" t="s">
        <v>186</v>
      </c>
      <c r="B3" s="8" t="s">
        <v>187</v>
      </c>
      <c r="C3" s="8" t="s">
        <v>188</v>
      </c>
      <c r="D3" s="8" t="s">
        <v>189</v>
      </c>
    </row>
    <row r="4" customFormat="false" ht="15" hidden="false" customHeight="false" outlineLevel="0" collapsed="false">
      <c r="A4" s="8" t="s">
        <v>190</v>
      </c>
      <c r="B4" s="8" t="s">
        <v>187</v>
      </c>
      <c r="C4" s="8" t="s">
        <v>191</v>
      </c>
      <c r="D4" s="8" t="s">
        <v>192</v>
      </c>
    </row>
    <row r="5" customFormat="false" ht="15" hidden="false" customHeight="false" outlineLevel="0" collapsed="false">
      <c r="A5" s="8" t="s">
        <v>193</v>
      </c>
      <c r="B5" s="8" t="s">
        <v>183</v>
      </c>
      <c r="C5" s="8" t="s">
        <v>194</v>
      </c>
      <c r="D5" s="8" t="s">
        <v>195</v>
      </c>
    </row>
    <row r="6" customFormat="false" ht="15" hidden="false" customHeight="false" outlineLevel="0" collapsed="false">
      <c r="A6" s="8" t="s">
        <v>196</v>
      </c>
      <c r="B6" s="8" t="s">
        <v>187</v>
      </c>
      <c r="C6" s="8" t="s">
        <v>197</v>
      </c>
      <c r="D6" s="8" t="s">
        <v>198</v>
      </c>
    </row>
    <row r="7" customFormat="false" ht="15" hidden="false" customHeight="false" outlineLevel="0" collapsed="false">
      <c r="A7" s="8" t="s">
        <v>199</v>
      </c>
      <c r="B7" s="8" t="s">
        <v>183</v>
      </c>
      <c r="C7" s="8" t="s">
        <v>200</v>
      </c>
      <c r="D7" s="8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2026-09-25T01:59:52Z</dcterms:created>
  <dc:creator>openpyxl</dc:creator>
  <dc:description/>
  <dc:language>en-US</dc:language>
  <cp:lastModifiedBy/>
  <dcterms:modified xsi:type="dcterms:W3CDTF">2026-09-25T01:59:52Z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