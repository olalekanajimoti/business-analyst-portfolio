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ser Stories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UAT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ata Diction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53D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4748B"/>
      <sz val="11"/>
    </font>
  </fonts>
  <fills count="3">
    <fill>
      <patternFill/>
    </fill>
    <fill>
      <patternFill patternType="gray125"/>
    </fill>
    <fill>
      <patternFill patternType="solid">
        <fgColor rgb="FF15253D"/>
        <bgColor rgb="FF003366"/>
      </patternFill>
    </fill>
  </fills>
  <borders count="2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0" customWidth="1" style="9" min="2" max="2"/>
    <col width="16" customWidth="1" style="9" min="3" max="3"/>
  </cols>
  <sheetData>
    <row r="1" ht="17.35" customHeight="1" s="10">
      <c r="A1" s="11" t="inlineStr">
        <is>
          <t>Taash Tax Automation Service</t>
        </is>
      </c>
    </row>
    <row r="2"/>
    <row r="3" ht="15" customHeight="1" s="10">
      <c r="A3" s="12" t="inlineStr">
        <is>
          <t>Status</t>
        </is>
      </c>
      <c r="B3" s="13" t="inlineStr">
        <is>
          <t>Completed</t>
        </is>
      </c>
    </row>
    <row r="4" ht="15" customHeight="1" s="10">
      <c r="A4" s="12" t="inlineStr">
        <is>
          <t>Domain</t>
        </is>
      </c>
      <c r="B4" s="13" t="inlineStr">
        <is>
          <t>Tax technology and financial services</t>
        </is>
      </c>
    </row>
    <row r="5" ht="15" customHeight="1" s="10">
      <c r="A5" s="12" t="inlineStr">
        <is>
          <t>Role</t>
        </is>
      </c>
      <c r="B5" s="13" t="inlineStr">
        <is>
          <t>Founder and Product Business Analyst</t>
        </is>
      </c>
    </row>
    <row r="6" ht="23.85" customHeight="1" s="10">
      <c r="A6" s="12" t="inlineStr">
        <is>
          <t>Business problem</t>
        </is>
      </c>
      <c r="B6" s="13" t="inlineStr">
        <is>
          <t>Individuals, freelancers and small businesses struggle to identify the right tax route, calculate liability correctly and track filing through to certificate.</t>
        </is>
      </c>
    </row>
    <row r="7"/>
    <row r="8"/>
    <row r="9" ht="15" customHeight="1" s="10">
      <c r="A9" s="14" t="inlineStr">
        <is>
          <t>Measure</t>
        </is>
      </c>
      <c r="B9" s="14" t="inlineStr">
        <is>
          <t>Value</t>
        </is>
      </c>
      <c r="C9" s="14" t="inlineStr">
        <is>
          <t>Source</t>
        </is>
      </c>
    </row>
    <row r="10" ht="15" customHeight="1" s="10">
      <c r="A10" s="15" t="inlineStr">
        <is>
          <t>Business requirements</t>
        </is>
      </c>
      <c r="B10" s="15">
        <f>COUNTA(Requirements!A2:A200)</f>
        <v/>
      </c>
      <c r="C10" s="15" t="inlineStr">
        <is>
          <t>Requirements</t>
        </is>
      </c>
    </row>
    <row r="11" ht="15" customHeight="1" s="10">
      <c r="A11" s="15" t="inlineStr">
        <is>
          <t>Must requirements</t>
        </is>
      </c>
      <c r="B11" s="15">
        <f>COUNTIF(Requirements!C2:C200,"Must")</f>
        <v/>
      </c>
      <c r="C11" s="15" t="inlineStr">
        <is>
          <t>Requirements</t>
        </is>
      </c>
    </row>
    <row r="12" ht="15" customHeight="1" s="10">
      <c r="A12" s="15" t="inlineStr">
        <is>
          <t>Should requirements</t>
        </is>
      </c>
      <c r="B12" s="15">
        <f>COUNTIF(Requirements!C2:C200,"Should")</f>
        <v/>
      </c>
      <c r="C12" s="15" t="inlineStr">
        <is>
          <t>Requirements</t>
        </is>
      </c>
    </row>
    <row r="13" ht="15" customHeight="1" s="10">
      <c r="A13" s="15" t="inlineStr">
        <is>
          <t>Functional requirements</t>
        </is>
      </c>
      <c r="B13" s="15">
        <f>COUNTA(Functional!A2:A200)</f>
        <v/>
      </c>
      <c r="C13" s="15" t="inlineStr">
        <is>
          <t>Functional</t>
        </is>
      </c>
    </row>
    <row r="14" ht="15" customHeight="1" s="10">
      <c r="A14" s="15" t="inlineStr">
        <is>
          <t>Requirements with a test</t>
        </is>
      </c>
      <c r="B14" s="15">
        <f>COUNTIF(Traceability!F2:F200,"&gt;0")</f>
        <v/>
      </c>
      <c r="C14" s="15" t="inlineStr">
        <is>
          <t>Traceability</t>
        </is>
      </c>
    </row>
    <row r="15" ht="15" customHeight="1" s="10">
      <c r="A15" s="15" t="inlineStr">
        <is>
          <t>Tests with status "Released"</t>
        </is>
      </c>
      <c r="B15" s="15">
        <f>COUNTIF(UAT!F2:F200,"Released")</f>
        <v/>
      </c>
      <c r="C15" s="15" t="inlineStr">
        <is>
          <t>UAT</t>
        </is>
      </c>
    </row>
    <row r="16" ht="15" customHeight="1" s="10">
      <c r="A16" s="15" t="inlineStr">
        <is>
          <t>High risks</t>
        </is>
      </c>
      <c r="B16" s="15">
        <f>COUNTIF(RAID!C2:C200,"High")</f>
        <v/>
      </c>
      <c r="C16" s="15" t="inlineStr">
        <is>
          <t>RAID</t>
        </is>
      </c>
    </row>
    <row r="17" ht="15" customHeight="1" s="10">
      <c r="A17" s="15" t="inlineStr">
        <is>
          <t>Stakeholder groups</t>
        </is>
      </c>
      <c r="B17" s="15">
        <f>COUNTA(Stakeholders!A2:A200)</f>
        <v/>
      </c>
      <c r="C17" s="15" t="inlineStr">
        <is>
          <t>Stakeholders</t>
        </is>
      </c>
    </row>
    <row r="18"/>
    <row r="19" ht="15" customHeight="1" s="10">
      <c r="A19" s="16" t="inlineStr">
        <is>
          <t>Counts are formulas and update when rows are added. Status values are recorded on the UAT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70" customWidth="1" style="9" min="2" max="2"/>
  </cols>
  <sheetData>
    <row r="1" ht="15" customHeight="1" s="10">
      <c r="A1" s="17" t="inlineStr">
        <is>
          <t>Objective ID</t>
        </is>
      </c>
      <c r="B1" s="17" t="inlineStr">
        <is>
          <t>Objective</t>
        </is>
      </c>
    </row>
    <row r="2" ht="15" customHeight="1" s="10">
      <c r="A2" s="18" t="inlineStr">
        <is>
          <t>OBJ-01</t>
        </is>
      </c>
      <c r="B2" s="18" t="inlineStr">
        <is>
          <t>Classify taxpayer and entity type correctly</t>
        </is>
      </c>
    </row>
    <row r="3" ht="15" customHeight="1" s="10">
      <c r="A3" s="18" t="inlineStr">
        <is>
          <t>OBJ-02</t>
        </is>
      </c>
      <c r="B3" s="18" t="inlineStr">
        <is>
          <t>Explain calculations and the evidence behind them</t>
        </is>
      </c>
    </row>
    <row r="4" ht="15" customHeight="1" s="10">
      <c r="A4" s="18" t="inlineStr">
        <is>
          <t>OBJ-03</t>
        </is>
      </c>
      <c r="B4" s="18" t="inlineStr">
        <is>
          <t>Keep tax rules versioned and current</t>
        </is>
      </c>
    </row>
    <row r="5" ht="15" customHeight="1" s="10">
      <c r="A5" s="18" t="inlineStr">
        <is>
          <t>OBJ-04</t>
        </is>
      </c>
      <c r="B5" s="18" t="inlineStr">
        <is>
          <t>Track File, Pay, Confirm and Certificate</t>
        </is>
      </c>
    </row>
    <row r="6" ht="15" customHeight="1" s="10">
      <c r="A6" s="18" t="inlineStr">
        <is>
          <t>OBJ-05</t>
        </is>
      </c>
      <c r="B6" s="18" t="inlineStr">
        <is>
          <t>Protect taxpayers through data security and a human review route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55" customWidth="1" style="9" min="2" max="2"/>
    <col width="10" customWidth="1" style="9" min="3" max="3"/>
    <col width="13" customWidth="1" style="9" min="4" max="4"/>
    <col width="40" customWidth="1" style="9" min="5" max="5"/>
    <col width="55" customWidth="1" style="9" min="6" max="6"/>
  </cols>
  <sheetData>
    <row r="1" ht="15" customHeight="1" s="10">
      <c r="A1" s="17" t="inlineStr">
        <is>
          <t>ID</t>
        </is>
      </c>
      <c r="B1" s="17" t="inlineStr">
        <is>
          <t>Requirement</t>
        </is>
      </c>
      <c r="C1" s="17" t="inlineStr">
        <is>
          <t>Priority</t>
        </is>
      </c>
      <c r="D1" s="17" t="inlineStr">
        <is>
          <t>Objective ID</t>
        </is>
      </c>
      <c r="E1" s="17" t="inlineStr">
        <is>
          <t>Objective</t>
        </is>
      </c>
      <c r="F1" s="17" t="inlineStr">
        <is>
          <t>Acceptance criterion</t>
        </is>
      </c>
    </row>
    <row r="2" ht="15" customHeight="1" s="10">
      <c r="A2" s="18" t="inlineStr">
        <is>
          <t>BR-01</t>
        </is>
      </c>
      <c r="B2" s="18" t="inlineStr">
        <is>
          <t>Identify taxpayer or entity type</t>
        </is>
      </c>
      <c r="C2" s="18" t="inlineStr">
        <is>
          <t>Must</t>
        </is>
      </c>
      <c r="D2" s="18" t="inlineStr">
        <is>
          <t>OBJ-01</t>
        </is>
      </c>
      <c r="E2" s="18">
        <f>IFERROR(INDEX(Objectives!$B:$B,MATCH(D2,Objectives!$A:$A,0)),"Check objective ID")</f>
        <v/>
      </c>
      <c r="F2" s="18" t="inlineStr">
        <is>
          <t>Validated answers route the user to the correct journey</t>
        </is>
      </c>
    </row>
    <row r="3" ht="23.85" customHeight="1" s="10">
      <c r="A3" s="18" t="inlineStr">
        <is>
          <t>BR-02</t>
        </is>
      </c>
      <c r="B3" s="18" t="inlineStr">
        <is>
          <t>Distinguish business-name (BN) and incorporated-company (RC) routes</t>
        </is>
      </c>
      <c r="C3" s="18" t="inlineStr">
        <is>
          <t>Must</t>
        </is>
      </c>
      <c r="D3" s="18" t="inlineStr">
        <is>
          <t>OBJ-01</t>
        </is>
      </c>
      <c r="E3" s="18">
        <f>IFERROR(INDEX(Objectives!$B:$B,MATCH(D3,Objectives!$A:$A,0)),"Check objective ID")</f>
        <v/>
      </c>
      <c r="F3" s="18" t="inlineStr">
        <is>
          <t>The relevant state or federal journey appears</t>
        </is>
      </c>
    </row>
    <row r="4" ht="23.85" customHeight="1" s="10">
      <c r="A4" s="18" t="inlineStr">
        <is>
          <t>BR-03</t>
        </is>
      </c>
      <c r="B4" s="18" t="inlineStr">
        <is>
          <t>Capture income, deductions and evidence status</t>
        </is>
      </c>
      <c r="C4" s="18" t="inlineStr">
        <is>
          <t>Must</t>
        </is>
      </c>
      <c r="D4" s="18" t="inlineStr">
        <is>
          <t>OBJ-02</t>
        </is>
      </c>
      <c r="E4" s="18">
        <f>IFERROR(INDEX(Objectives!$B:$B,MATCH(D4,Objectives!$A:$A,0)),"Check objective ID")</f>
        <v/>
      </c>
      <c r="F4" s="18" t="inlineStr">
        <is>
          <t>Required values and evidence flags are retained</t>
        </is>
      </c>
    </row>
    <row r="5" ht="23.85" customHeight="1" s="10">
      <c r="A5" s="18" t="inlineStr">
        <is>
          <t>BR-04</t>
        </is>
      </c>
      <c r="B5" s="18" t="inlineStr">
        <is>
          <t>Show the rules and values applied in each result</t>
        </is>
      </c>
      <c r="C5" s="18" t="inlineStr">
        <is>
          <t>Must</t>
        </is>
      </c>
      <c r="D5" s="18" t="inlineStr">
        <is>
          <t>OBJ-02</t>
        </is>
      </c>
      <c r="E5" s="18">
        <f>IFERROR(INDEX(Objectives!$B:$B,MATCH(D5,Objectives!$A:$A,0)),"Check objective ID")</f>
        <v/>
      </c>
      <c r="F5" s="18" t="inlineStr">
        <is>
          <t>An itemised explanation is available for review</t>
        </is>
      </c>
    </row>
    <row r="6" ht="15" customHeight="1" s="10">
      <c r="A6" s="18" t="inlineStr">
        <is>
          <t>BR-05</t>
        </is>
      </c>
      <c r="B6" s="18" t="inlineStr">
        <is>
          <t>Version rules by effective date</t>
        </is>
      </c>
      <c r="C6" s="18" t="inlineStr">
        <is>
          <t>Must</t>
        </is>
      </c>
      <c r="D6" s="18" t="inlineStr">
        <is>
          <t>OBJ-03</t>
        </is>
      </c>
      <c r="E6" s="18">
        <f>IFERROR(INDEX(Objectives!$B:$B,MATCH(D6,Objectives!$A:$A,0)),"Check objective ID")</f>
        <v/>
      </c>
      <c r="F6" s="18" t="inlineStr">
        <is>
          <t>Each result records the active rule version</t>
        </is>
      </c>
    </row>
    <row r="7" ht="15" customHeight="1" s="10">
      <c r="A7" s="18" t="inlineStr">
        <is>
          <t>BR-06</t>
        </is>
      </c>
      <c r="B7" s="18" t="inlineStr">
        <is>
          <t>Track File, Pay, Confirm and Certificate stages</t>
        </is>
      </c>
      <c r="C7" s="18" t="inlineStr">
        <is>
          <t>Should</t>
        </is>
      </c>
      <c r="D7" s="18" t="inlineStr">
        <is>
          <t>OBJ-04</t>
        </is>
      </c>
      <c r="E7" s="18">
        <f>IFERROR(INDEX(Objectives!$B:$B,MATCH(D7,Objectives!$A:$A,0)),"Check objective ID")</f>
        <v/>
      </c>
      <c r="F7" s="18" t="inlineStr">
        <is>
          <t>Current stage and next action are visible</t>
        </is>
      </c>
    </row>
    <row r="8" ht="23.85" customHeight="1" s="10">
      <c r="A8" s="18" t="inlineStr">
        <is>
          <t>BR-07</t>
        </is>
      </c>
      <c r="B8" s="18" t="inlineStr">
        <is>
          <t>Sensitive data is access controlled</t>
        </is>
      </c>
      <c r="C8" s="18" t="inlineStr">
        <is>
          <t>Must</t>
        </is>
      </c>
      <c r="D8" s="18" t="inlineStr">
        <is>
          <t>OBJ-05</t>
        </is>
      </c>
      <c r="E8" s="18">
        <f>IFERROR(INDEX(Objectives!$B:$B,MATCH(D8,Objectives!$A:$A,0)),"Check objective ID")</f>
        <v/>
      </c>
      <c r="F8" s="18" t="inlineStr">
        <is>
          <t>Unauthorised access is rejected and access events are logged</t>
        </is>
      </c>
    </row>
    <row r="9" ht="23.85" customHeight="1" s="10">
      <c r="A9" s="18" t="inlineStr">
        <is>
          <t>BR-08</t>
        </is>
      </c>
      <c r="B9" s="18" t="inlineStr">
        <is>
          <t>Uncertain or complex cases have an escalation route</t>
        </is>
      </c>
      <c r="C9" s="18" t="inlineStr">
        <is>
          <t>Must</t>
        </is>
      </c>
      <c r="D9" s="18" t="inlineStr">
        <is>
          <t>OBJ-05</t>
        </is>
      </c>
      <c r="E9" s="18">
        <f>IFERROR(INDEX(Objectives!$B:$B,MATCH(D9,Objectives!$A:$A,0)),"Check objective ID")</f>
        <v/>
      </c>
      <c r="F9" s="18" t="inlineStr">
        <is>
          <t>User receives a clear referral or review option</t>
        </is>
      </c>
    </row>
    <row r="10" ht="15" customHeight="1" s="10">
      <c r="A10" s="18" t="inlineStr">
        <is>
          <t>BR-09</t>
        </is>
      </c>
      <c r="B10" s="18" t="inlineStr">
        <is>
          <t>Guidance content is editable without code deployment</t>
        </is>
      </c>
      <c r="C10" s="18" t="inlineStr">
        <is>
          <t>Should</t>
        </is>
      </c>
      <c r="D10" s="18" t="inlineStr">
        <is>
          <t>OBJ-03</t>
        </is>
      </c>
      <c r="E10" s="18">
        <f>IFERROR(INDEX(Objectives!$B:$B,MATCH(D10,Objectives!$A:$A,0)),"Check objective ID")</f>
        <v/>
      </c>
      <c r="F10" s="18" t="inlineStr">
        <is>
          <t>Authorised editor updates and publishes controlled content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1" customWidth="1" style="9" min="2" max="2"/>
    <col width="60" customWidth="1" style="9" min="3" max="3"/>
    <col width="55" customWidth="1" style="9" min="4" max="4"/>
  </cols>
  <sheetData>
    <row r="1" ht="1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System behaviour</t>
        </is>
      </c>
      <c r="D1" s="17" t="inlineStr">
        <is>
          <t>Business rule or validation</t>
        </is>
      </c>
    </row>
    <row r="2" ht="15" customHeight="1" s="10">
      <c r="A2" s="18" t="inlineStr">
        <is>
          <t>FR-01</t>
        </is>
      </c>
      <c r="B2" s="18" t="inlineStr">
        <is>
          <t>BR-01</t>
        </is>
      </c>
      <c r="C2" s="18" t="inlineStr">
        <is>
          <t>Eligibility questionnaire classifies PAYE, freelancer, BN or RC</t>
        </is>
      </c>
      <c r="D2" s="18" t="inlineStr">
        <is>
          <t>Contradictory answers trigger a confirmation question</t>
        </is>
      </c>
    </row>
    <row r="3" ht="15" customHeight="1" s="10">
      <c r="A3" s="18" t="inlineStr">
        <is>
          <t>FR-02</t>
        </is>
      </c>
      <c r="B3" s="18" t="inlineStr">
        <is>
          <t>BR-02</t>
        </is>
      </c>
      <c r="C3" s="18" t="inlineStr">
        <is>
          <t>BN route shows state obligations; RC route shows federal obligations</t>
        </is>
      </c>
      <c r="D3" s="18" t="inlineStr">
        <is>
          <t>Route cannot change after filing starts without reset</t>
        </is>
      </c>
    </row>
    <row r="4" ht="15" customHeight="1" s="10">
      <c r="A4" s="18" t="inlineStr">
        <is>
          <t>FR-03</t>
        </is>
      </c>
      <c r="B4" s="18" t="inlineStr">
        <is>
          <t>BR-03</t>
        </is>
      </c>
      <c r="C4" s="18" t="inlineStr">
        <is>
          <t>Income and deduction entries carry an evidence status</t>
        </is>
      </c>
      <c r="D4" s="18" t="inlineStr">
        <is>
          <t>Status values: Uploaded, Pending, Not required</t>
        </is>
      </c>
    </row>
    <row r="5" ht="15" customHeight="1" s="10">
      <c r="A5" s="18" t="inlineStr">
        <is>
          <t>FR-04</t>
        </is>
      </c>
      <c r="B5" s="18" t="inlineStr">
        <is>
          <t>BR-04</t>
        </is>
      </c>
      <c r="C5" s="18" t="inlineStr">
        <is>
          <t>Result page itemises each rule, rate and value applied</t>
        </is>
      </c>
      <c r="D5" s="18" t="inlineStr">
        <is>
          <t>Every line references a rule ID</t>
        </is>
      </c>
    </row>
    <row r="6" ht="15" customHeight="1" s="10">
      <c r="A6" s="18" t="inlineStr">
        <is>
          <t>FR-05</t>
        </is>
      </c>
      <c r="B6" s="18" t="inlineStr">
        <is>
          <t>BR-05</t>
        </is>
      </c>
      <c r="C6" s="18" t="inlineStr">
        <is>
          <t>Rule tables hold effective-from and effective-to dates</t>
        </is>
      </c>
      <c r="D6" s="18" t="inlineStr">
        <is>
          <t>Calculation uses the version active on the tax period end date</t>
        </is>
      </c>
    </row>
    <row r="7" ht="15" customHeight="1" s="10">
      <c r="A7" s="18" t="inlineStr">
        <is>
          <t>FR-06</t>
        </is>
      </c>
      <c r="B7" s="18" t="inlineStr">
        <is>
          <t>BR-06</t>
        </is>
      </c>
      <c r="C7" s="18" t="inlineStr">
        <is>
          <t>Tracker shows File, Pay, Confirm, Certificate with next action</t>
        </is>
      </c>
      <c r="D7" s="18" t="inlineStr">
        <is>
          <t>Stage advances only on confirmed evidence</t>
        </is>
      </c>
    </row>
    <row r="8" ht="15" customHeight="1" s="10">
      <c r="A8" s="18" t="inlineStr">
        <is>
          <t>FR-07</t>
        </is>
      </c>
      <c r="B8" s="18" t="inlineStr">
        <is>
          <t>BR-07</t>
        </is>
      </c>
      <c r="C8" s="18" t="inlineStr">
        <is>
          <t>Role-based access to taxpayer records with an access log</t>
        </is>
      </c>
      <c r="D8" s="18" t="inlineStr">
        <is>
          <t>Reviewers see only cases assigned to them</t>
        </is>
      </c>
    </row>
    <row r="9" ht="15" customHeight="1" s="10">
      <c r="A9" s="18" t="inlineStr">
        <is>
          <t>FR-08</t>
        </is>
      </c>
      <c r="B9" s="18" t="inlineStr">
        <is>
          <t>BR-08</t>
        </is>
      </c>
      <c r="C9" s="18" t="inlineStr">
        <is>
          <t>Out-of-scope or low-confidence results route to the review queue</t>
        </is>
      </c>
      <c r="D9" s="18" t="inlineStr">
        <is>
          <t>User sees a plain-language limitation message</t>
        </is>
      </c>
    </row>
    <row r="10" ht="15" customHeight="1" s="10">
      <c r="A10" s="18" t="inlineStr">
        <is>
          <t>FR-09</t>
        </is>
      </c>
      <c r="B10" s="18" t="inlineStr">
        <is>
          <t>BR-09</t>
        </is>
      </c>
      <c r="C10" s="18" t="inlineStr">
        <is>
          <t>Content editor publishes guidance with an effective date after approval</t>
        </is>
      </c>
      <c r="D10" s="18" t="inlineStr">
        <is>
          <t>Unapproved drafts are never shown to users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0" customWidth="1" style="9" min="2" max="2"/>
    <col width="22" customWidth="1" style="9" min="3" max="3"/>
    <col width="35" customWidth="1" style="9" min="4" max="5"/>
    <col width="30" customWidth="1" style="9" min="6" max="6"/>
    <col width="28" customWidth="1" style="9" min="7" max="7"/>
    <col width="40" customWidth="1" style="9" min="8" max="8"/>
  </cols>
  <sheetData>
    <row r="1" ht="26.8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As a</t>
        </is>
      </c>
      <c r="D1" s="17" t="inlineStr">
        <is>
          <t>I want</t>
        </is>
      </c>
      <c r="E1" s="17" t="inlineStr">
        <is>
          <t>So that</t>
        </is>
      </c>
      <c r="F1" s="17" t="inlineStr">
        <is>
          <t>Given</t>
        </is>
      </c>
      <c r="G1" s="17" t="inlineStr">
        <is>
          <t>When</t>
        </is>
      </c>
      <c r="H1" s="17" t="inlineStr">
        <is>
          <t>Then</t>
        </is>
      </c>
    </row>
    <row r="2" ht="23.85" customHeight="1" s="10">
      <c r="A2" s="18" t="inlineStr">
        <is>
          <t>US-01</t>
        </is>
      </c>
      <c r="B2" s="18" t="inlineStr">
        <is>
          <t>BR-01</t>
        </is>
      </c>
      <c r="C2" s="18" t="inlineStr">
        <is>
          <t>freelancer</t>
        </is>
      </c>
      <c r="D2" s="18" t="inlineStr">
        <is>
          <t>to be told which tax route applies to me</t>
        </is>
      </c>
      <c r="E2" s="18" t="inlineStr">
        <is>
          <t>I do not file under the wrong category</t>
        </is>
      </c>
      <c r="F2" s="18" t="inlineStr">
        <is>
          <t>I answer the eligibility questions</t>
        </is>
      </c>
      <c r="G2" s="18" t="inlineStr">
        <is>
          <t>I submit them</t>
        </is>
      </c>
      <c r="H2" s="18" t="inlineStr">
        <is>
          <t>I am routed to the freelancer journey with a plain-language reason</t>
        </is>
      </c>
    </row>
    <row r="3" ht="23.85" customHeight="1" s="10">
      <c r="A3" s="18" t="inlineStr">
        <is>
          <t>US-02</t>
        </is>
      </c>
      <c r="B3" s="18" t="inlineStr">
        <is>
          <t>BR-04</t>
        </is>
      </c>
      <c r="C3" s="18" t="inlineStr">
        <is>
          <t>small business owner</t>
        </is>
      </c>
      <c r="D3" s="18" t="inlineStr">
        <is>
          <t>to see how my liability was calculated</t>
        </is>
      </c>
      <c r="E3" s="18" t="inlineStr">
        <is>
          <t>I can check it before paying</t>
        </is>
      </c>
      <c r="F3" s="18" t="inlineStr">
        <is>
          <t>my calculation is complete</t>
        </is>
      </c>
      <c r="G3" s="18" t="inlineStr">
        <is>
          <t>I open the result</t>
        </is>
      </c>
      <c r="H3" s="18" t="inlineStr">
        <is>
          <t>each rule, rate and value is listed with its rule version</t>
        </is>
      </c>
    </row>
    <row r="4" ht="23.85" customHeight="1" s="10">
      <c r="A4" s="18" t="inlineStr">
        <is>
          <t>US-03</t>
        </is>
      </c>
      <c r="B4" s="18" t="inlineStr">
        <is>
          <t>BR-08</t>
        </is>
      </c>
      <c r="C4" s="18" t="inlineStr">
        <is>
          <t>tax reviewer</t>
        </is>
      </c>
      <c r="D4" s="18" t="inlineStr">
        <is>
          <t>to see the rule version and evidence for each referred case</t>
        </is>
      </c>
      <c r="E4" s="18" t="inlineStr">
        <is>
          <t>I can assess the calculation quickly</t>
        </is>
      </c>
      <c r="F4" s="18" t="inlineStr">
        <is>
          <t>a case is referred to me</t>
        </is>
      </c>
      <c r="G4" s="18" t="inlineStr">
        <is>
          <t>I open it</t>
        </is>
      </c>
      <c r="H4" s="18" t="inlineStr">
        <is>
          <t>rule version, inputs and evidence status are shown together</t>
        </is>
      </c>
    </row>
    <row r="5" ht="23.85" customHeight="1" s="10">
      <c r="A5" s="18" t="inlineStr">
        <is>
          <t>US-04</t>
        </is>
      </c>
      <c r="B5" s="18" t="inlineStr">
        <is>
          <t>BR-09</t>
        </is>
      </c>
      <c r="C5" s="18" t="inlineStr">
        <is>
          <t>content administrator</t>
        </is>
      </c>
      <c r="D5" s="18" t="inlineStr">
        <is>
          <t>to update guidance with an effective date</t>
        </is>
      </c>
      <c r="E5" s="18" t="inlineStr">
        <is>
          <t>published information stays controlled</t>
        </is>
      </c>
      <c r="F5" s="18" t="inlineStr">
        <is>
          <t>a rule change is approved</t>
        </is>
      </c>
      <c r="G5" s="18" t="inlineStr">
        <is>
          <t>I publish the guidance</t>
        </is>
      </c>
      <c r="H5" s="18" t="inlineStr">
        <is>
          <t>it goes live on the effective date and the prior version is kept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1" customWidth="1" style="9" min="2" max="2"/>
    <col width="10" customWidth="1" style="9" min="3" max="3"/>
    <col width="32" customWidth="1" style="9" min="4" max="6"/>
    <col width="22" customWidth="1" style="9" min="7" max="7"/>
    <col width="16" customWidth="1" style="9" min="8" max="8"/>
  </cols>
  <sheetData>
    <row r="1" ht="15" customHeight="1" s="10">
      <c r="A1" s="17" t="inlineStr">
        <is>
          <t>Stakeholder</t>
        </is>
      </c>
      <c r="B1" s="17" t="inlineStr">
        <is>
          <t>Influence</t>
        </is>
      </c>
      <c r="C1" s="17" t="inlineStr">
        <is>
          <t>Interest</t>
        </is>
      </c>
      <c r="D1" s="17" t="inlineStr">
        <is>
          <t>Primary interest</t>
        </is>
      </c>
      <c r="E1" s="17" t="inlineStr">
        <is>
          <t>Information need</t>
        </is>
      </c>
      <c r="F1" s="17" t="inlineStr">
        <is>
          <t>Method</t>
        </is>
      </c>
      <c r="G1" s="17" t="inlineStr">
        <is>
          <t>Cadence</t>
        </is>
      </c>
      <c r="H1" s="17" t="inlineStr">
        <is>
          <t>Approach</t>
        </is>
      </c>
    </row>
    <row r="2" ht="15" customHeight="1" s="10">
      <c r="A2" s="18" t="inlineStr">
        <is>
          <t>Individuals and PAYE users</t>
        </is>
      </c>
      <c r="B2" s="18" t="inlineStr">
        <is>
          <t>Low</t>
        </is>
      </c>
      <c r="C2" s="18" t="inlineStr">
        <is>
          <t>High</t>
        </is>
      </c>
      <c r="D2" s="18" t="inlineStr">
        <is>
          <t>Clear obligations and reliefs</t>
        </is>
      </c>
      <c r="E2" s="18" t="inlineStr">
        <is>
          <t>Route, liability, next step</t>
        </is>
      </c>
      <c r="F2" s="18" t="inlineStr">
        <is>
          <t>In-app guidance</t>
        </is>
      </c>
      <c r="G2" s="18" t="inlineStr">
        <is>
          <t>Each session</t>
        </is>
      </c>
      <c r="H2" s="18" t="inlineStr">
        <is>
          <t>Keep informed</t>
        </is>
      </c>
    </row>
    <row r="3" ht="15" customHeight="1" s="10">
      <c r="A3" s="18" t="inlineStr">
        <is>
          <t>Freelancers</t>
        </is>
      </c>
      <c r="B3" s="18" t="inlineStr">
        <is>
          <t>Low</t>
        </is>
      </c>
      <c r="C3" s="18" t="inlineStr">
        <is>
          <t>High</t>
        </is>
      </c>
      <c r="D3" s="18" t="inlineStr">
        <is>
          <t>Income and allowable cost treatment</t>
        </is>
      </c>
      <c r="E3" s="18" t="inlineStr">
        <is>
          <t>Deductions, evidence</t>
        </is>
      </c>
      <c r="F3" s="18" t="inlineStr">
        <is>
          <t>Guided journey</t>
        </is>
      </c>
      <c r="G3" s="18" t="inlineStr">
        <is>
          <t>Each session</t>
        </is>
      </c>
      <c r="H3" s="18" t="inlineStr">
        <is>
          <t>Keep informed</t>
        </is>
      </c>
    </row>
    <row r="4" ht="15" customHeight="1" s="10">
      <c r="A4" s="18" t="inlineStr">
        <is>
          <t>Business owners</t>
        </is>
      </c>
      <c r="B4" s="18" t="inlineStr">
        <is>
          <t>Medium</t>
        </is>
      </c>
      <c r="C4" s="18" t="inlineStr">
        <is>
          <t>High</t>
        </is>
      </c>
      <c r="D4" s="18" t="inlineStr">
        <is>
          <t>Correct entity route</t>
        </is>
      </c>
      <c r="E4" s="18" t="inlineStr">
        <is>
          <t>BN or RC obligations</t>
        </is>
      </c>
      <c r="F4" s="18" t="inlineStr">
        <is>
          <t>Guided journey and checklist</t>
        </is>
      </c>
      <c r="G4" s="18" t="inlineStr">
        <is>
          <t>Each filing period</t>
        </is>
      </c>
      <c r="H4" s="18" t="inlineStr">
        <is>
          <t>Keep informed</t>
        </is>
      </c>
    </row>
    <row r="5" ht="15" customHeight="1" s="10">
      <c r="A5" s="18" t="inlineStr">
        <is>
          <t>Tax professionals</t>
        </is>
      </c>
      <c r="B5" s="18" t="inlineStr">
        <is>
          <t>High</t>
        </is>
      </c>
      <c r="C5" s="18" t="inlineStr">
        <is>
          <t>High</t>
        </is>
      </c>
      <c r="D5" s="18" t="inlineStr">
        <is>
          <t>Review and rule validation</t>
        </is>
      </c>
      <c r="E5" s="18" t="inlineStr">
        <is>
          <t>Rule tables, edge cases</t>
        </is>
      </c>
      <c r="F5" s="18" t="inlineStr">
        <is>
          <t>Rule review workshop</t>
        </is>
      </c>
      <c r="G5" s="18" t="inlineStr">
        <is>
          <t>Before each rule release</t>
        </is>
      </c>
      <c r="H5" s="18" t="inlineStr">
        <is>
          <t>Manage closely</t>
        </is>
      </c>
    </row>
    <row r="6" ht="15" customHeight="1" s="10">
      <c r="A6" s="18" t="inlineStr">
        <is>
          <t>Engineering and content</t>
        </is>
      </c>
      <c r="B6" s="18" t="inlineStr">
        <is>
          <t>High</t>
        </is>
      </c>
      <c r="C6" s="18" t="inlineStr">
        <is>
          <t>High</t>
        </is>
      </c>
      <c r="D6" s="18" t="inlineStr">
        <is>
          <t>Testable, versioned logic</t>
        </is>
      </c>
      <c r="E6" s="18" t="inlineStr">
        <is>
          <t>Decision tables, acceptance criteria</t>
        </is>
      </c>
      <c r="F6" s="18" t="inlineStr">
        <is>
          <t>Backlog refinement in Jira</t>
        </is>
      </c>
      <c r="G6" s="18" t="inlineStr">
        <is>
          <t>Each sprint</t>
        </is>
      </c>
      <c r="H6" s="18" t="inlineStr">
        <is>
          <t>Manage closely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2" customWidth="1" style="9" min="2" max="2"/>
    <col width="10" customWidth="1" style="9" min="3" max="3"/>
    <col width="42" customWidth="1" style="9" min="4" max="4"/>
    <col width="22" customWidth="1" style="9" min="5" max="5"/>
  </cols>
  <sheetData>
    <row r="1" ht="15" customHeight="1" s="10">
      <c r="A1" s="17" t="inlineStr">
        <is>
          <t>ID</t>
        </is>
      </c>
      <c r="B1" s="17" t="inlineStr">
        <is>
          <t>Risk</t>
        </is>
      </c>
      <c r="C1" s="17" t="inlineStr">
        <is>
          <t>Severity</t>
        </is>
      </c>
      <c r="D1" s="17" t="inlineStr">
        <is>
          <t>Response</t>
        </is>
      </c>
      <c r="E1" s="17" t="inlineStr">
        <is>
          <t>Owner</t>
        </is>
      </c>
    </row>
    <row r="2" ht="15" customHeight="1" s="10">
      <c r="A2" s="18" t="inlineStr">
        <is>
          <t>R-01</t>
        </is>
      </c>
      <c r="B2" s="18" t="inlineStr">
        <is>
          <t>Rules change after implementation</t>
        </is>
      </c>
      <c r="C2" s="18" t="inlineStr">
        <is>
          <t>High</t>
        </is>
      </c>
      <c r="D2" s="18" t="inlineStr">
        <is>
          <t>Versioned tables with effective dates</t>
        </is>
      </c>
      <c r="E2" s="18" t="inlineStr">
        <is>
          <t>Product owner</t>
        </is>
      </c>
    </row>
    <row r="3" ht="15" customHeight="1" s="10">
      <c r="A3" s="18" t="inlineStr">
        <is>
          <t>R-02</t>
        </is>
      </c>
      <c r="B3" s="18" t="inlineStr">
        <is>
          <t>Estimate treated as professional advice</t>
        </is>
      </c>
      <c r="C3" s="18" t="inlineStr">
        <is>
          <t>High</t>
        </is>
      </c>
      <c r="D3" s="18" t="inlineStr">
        <is>
          <t>Clear scope statement and review route</t>
        </is>
      </c>
      <c r="E3" s="18" t="inlineStr">
        <is>
          <t>Product owner</t>
        </is>
      </c>
    </row>
    <row r="4" ht="15" customHeight="1" s="10">
      <c r="A4" s="18" t="inlineStr">
        <is>
          <t>R-03</t>
        </is>
      </c>
      <c r="B4" s="18" t="inlineStr">
        <is>
          <t>Incorrect classification</t>
        </is>
      </c>
      <c r="C4" s="18" t="inlineStr">
        <is>
          <t>High</t>
        </is>
      </c>
      <c r="D4" s="18" t="inlineStr">
        <is>
          <t>Confirmation questions and review</t>
        </is>
      </c>
      <c r="E4" s="18" t="inlineStr">
        <is>
          <t>Business analyst</t>
        </is>
      </c>
    </row>
    <row r="5" ht="15" customHeight="1" s="10">
      <c r="A5" s="18" t="inlineStr">
        <is>
          <t>R-04</t>
        </is>
      </c>
      <c r="B5" s="18" t="inlineStr">
        <is>
          <t>Sensitive data exposure</t>
        </is>
      </c>
      <c r="C5" s="18" t="inlineStr">
        <is>
          <t>High</t>
        </is>
      </c>
      <c r="D5" s="18" t="inlineStr">
        <is>
          <t>Least privilege and encryption</t>
        </is>
      </c>
      <c r="E5" s="18" t="inlineStr">
        <is>
          <t>Engineering lead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2" customWidth="1" style="9" min="2" max="2"/>
    <col width="36" customWidth="1" style="9" min="3" max="3"/>
    <col width="34" customWidth="1" style="9" min="4" max="4"/>
    <col width="44" customWidth="1" style="9" min="5" max="5"/>
    <col width="26" customWidth="1" style="9" min="6" max="6"/>
  </cols>
  <sheetData>
    <row r="1" ht="26.85" customHeight="1" s="10">
      <c r="A1" s="17" t="inlineStr">
        <is>
          <t>Test ID</t>
        </is>
      </c>
      <c r="B1" s="17" t="inlineStr">
        <is>
          <t>Requirement</t>
        </is>
      </c>
      <c r="C1" s="17" t="inlineStr">
        <is>
          <t>Given</t>
        </is>
      </c>
      <c r="D1" s="17" t="inlineStr">
        <is>
          <t>When</t>
        </is>
      </c>
      <c r="E1" s="17" t="inlineStr">
        <is>
          <t>Then</t>
        </is>
      </c>
      <c r="F1" s="17" t="inlineStr">
        <is>
          <t>Status</t>
        </is>
      </c>
    </row>
    <row r="2" ht="15" customHeight="1" s="10">
      <c r="A2" s="18" t="inlineStr">
        <is>
          <t>UAT-01</t>
        </is>
      </c>
      <c r="B2" s="18" t="inlineStr">
        <is>
          <t>BR-01</t>
        </is>
      </c>
      <c r="C2" s="18" t="inlineStr">
        <is>
          <t>a user with salary and freelance income</t>
        </is>
      </c>
      <c r="D2" s="18" t="inlineStr">
        <is>
          <t>they complete the questionnaire</t>
        </is>
      </c>
      <c r="E2" s="18" t="inlineStr">
        <is>
          <t>they are asked to confirm their primary route</t>
        </is>
      </c>
      <c r="F2" s="18" t="inlineStr">
        <is>
          <t>Released</t>
        </is>
      </c>
    </row>
    <row r="3" ht="15" customHeight="1" s="10">
      <c r="A3" s="18" t="inlineStr">
        <is>
          <t>UAT-02</t>
        </is>
      </c>
      <c r="B3" s="18" t="inlineStr">
        <is>
          <t>BR-02</t>
        </is>
      </c>
      <c r="C3" s="18" t="inlineStr">
        <is>
          <t>a user selects business name</t>
        </is>
      </c>
      <c r="D3" s="18" t="inlineStr">
        <is>
          <t>the journey starts</t>
        </is>
      </c>
      <c r="E3" s="18" t="inlineStr">
        <is>
          <t>the state route and its evidence list are shown</t>
        </is>
      </c>
      <c r="F3" s="18" t="inlineStr">
        <is>
          <t>Released</t>
        </is>
      </c>
    </row>
    <row r="4" ht="15" customHeight="1" s="10">
      <c r="A4" s="18" t="inlineStr">
        <is>
          <t>UAT-03</t>
        </is>
      </c>
      <c r="B4" s="18" t="inlineStr">
        <is>
          <t>BR-02</t>
        </is>
      </c>
      <c r="C4" s="18" t="inlineStr">
        <is>
          <t>a user selects registered company</t>
        </is>
      </c>
      <c r="D4" s="18" t="inlineStr">
        <is>
          <t>the journey starts</t>
        </is>
      </c>
      <c r="E4" s="18" t="inlineStr">
        <is>
          <t>the federal company route is shown</t>
        </is>
      </c>
      <c r="F4" s="18" t="inlineStr">
        <is>
          <t>Released</t>
        </is>
      </c>
    </row>
    <row r="5" ht="15" customHeight="1" s="10">
      <c r="A5" s="18" t="inlineStr">
        <is>
          <t>UAT-04</t>
        </is>
      </c>
      <c r="B5" s="18" t="inlineStr">
        <is>
          <t>BR-03</t>
        </is>
      </c>
      <c r="C5" s="18" t="inlineStr">
        <is>
          <t>a deduction without evidence</t>
        </is>
      </c>
      <c r="D5" s="18" t="inlineStr">
        <is>
          <t>the user continues</t>
        </is>
      </c>
      <c r="E5" s="18" t="inlineStr">
        <is>
          <t>the entry is flagged Pending</t>
        </is>
      </c>
      <c r="F5" s="18" t="inlineStr">
        <is>
          <t>Released</t>
        </is>
      </c>
    </row>
    <row r="6" ht="23.85" customHeight="1" s="10">
      <c r="A6" s="18" t="inlineStr">
        <is>
          <t>UAT-05</t>
        </is>
      </c>
      <c r="B6" s="18" t="inlineStr">
        <is>
          <t>BR-04</t>
        </is>
      </c>
      <c r="C6" s="18" t="inlineStr">
        <is>
          <t>declared rent where 20% of it is below the ₦500,000 rent-relief cap (DR-06)</t>
        </is>
      </c>
      <c r="D6" s="18" t="inlineStr">
        <is>
          <t>relief is calculated</t>
        </is>
      </c>
      <c r="E6" s="18" t="inlineStr">
        <is>
          <t>the 20% value is applied and shown in the explanation</t>
        </is>
      </c>
      <c r="F6" s="18" t="inlineStr">
        <is>
          <t>Released</t>
        </is>
      </c>
    </row>
    <row r="7" ht="23.85" customHeight="1" s="10">
      <c r="A7" s="18" t="inlineStr">
        <is>
          <t>UAT-06</t>
        </is>
      </c>
      <c r="B7" s="18" t="inlineStr">
        <is>
          <t>BR-04</t>
        </is>
      </c>
      <c r="C7" s="18" t="inlineStr">
        <is>
          <t>declared rent where 20% of it is above the ₦500,000 rent-relief cap (DR-06)</t>
        </is>
      </c>
      <c r="D7" s="18" t="inlineStr">
        <is>
          <t>relief is calculated</t>
        </is>
      </c>
      <c r="E7" s="18" t="inlineStr">
        <is>
          <t>the ₦500,000 cap is applied and shown</t>
        </is>
      </c>
      <c r="F7" s="18" t="inlineStr">
        <is>
          <t>Released</t>
        </is>
      </c>
    </row>
    <row r="8" ht="15" customHeight="1" s="10">
      <c r="A8" s="18" t="inlineStr">
        <is>
          <t>UAT-07</t>
        </is>
      </c>
      <c r="B8" s="18" t="inlineStr">
        <is>
          <t>BR-05</t>
        </is>
      </c>
      <c r="C8" s="18" t="inlineStr">
        <is>
          <t>a rule changes effective date</t>
        </is>
      </c>
      <c r="D8" s="18" t="inlineStr">
        <is>
          <t>a prior result is reopened</t>
        </is>
      </c>
      <c r="E8" s="18" t="inlineStr">
        <is>
          <t>it keeps the original rule version</t>
        </is>
      </c>
      <c r="F8" s="18" t="inlineStr">
        <is>
          <t>Released</t>
        </is>
      </c>
    </row>
    <row r="9" ht="15" customHeight="1" s="10">
      <c r="A9" s="18" t="inlineStr">
        <is>
          <t>UAT-08</t>
        </is>
      </c>
      <c r="B9" s="18" t="inlineStr">
        <is>
          <t>BR-06</t>
        </is>
      </c>
      <c r="C9" s="18" t="inlineStr">
        <is>
          <t>payment is confirmed</t>
        </is>
      </c>
      <c r="D9" s="18" t="inlineStr">
        <is>
          <t>the tracker refreshes</t>
        </is>
      </c>
      <c r="E9" s="18" t="inlineStr">
        <is>
          <t>the stage moves to Confirm with the next action</t>
        </is>
      </c>
      <c r="F9" s="18" t="inlineStr">
        <is>
          <t>Released</t>
        </is>
      </c>
    </row>
    <row r="10" ht="15" customHeight="1" s="10">
      <c r="A10" s="18" t="inlineStr">
        <is>
          <t>UAT-09</t>
        </is>
      </c>
      <c r="B10" s="18" t="inlineStr">
        <is>
          <t>BR-07</t>
        </is>
      </c>
      <c r="C10" s="18" t="inlineStr">
        <is>
          <t>an unauthorised user</t>
        </is>
      </c>
      <c r="D10" s="18" t="inlineStr">
        <is>
          <t>they request a taxpayer record</t>
        </is>
      </c>
      <c r="E10" s="18" t="inlineStr">
        <is>
          <t>access is rejected and the event is logged</t>
        </is>
      </c>
      <c r="F10" s="18" t="inlineStr">
        <is>
          <t>Released</t>
        </is>
      </c>
    </row>
    <row r="11" ht="15" customHeight="1" s="10">
      <c r="A11" s="18" t="inlineStr">
        <is>
          <t>UAT-10</t>
        </is>
      </c>
      <c r="B11" s="18" t="inlineStr">
        <is>
          <t>BR-08</t>
        </is>
      </c>
      <c r="C11" s="18" t="inlineStr">
        <is>
          <t>an unsupported case</t>
        </is>
      </c>
      <c r="D11" s="18" t="inlineStr">
        <is>
          <t>the result is produced</t>
        </is>
      </c>
      <c r="E11" s="18" t="inlineStr">
        <is>
          <t>the escalation option and limitation message appear</t>
        </is>
      </c>
      <c r="F11" s="18" t="inlineStr">
        <is>
          <t>Released</t>
        </is>
      </c>
    </row>
    <row r="12" ht="15" customHeight="1" s="10">
      <c r="A12" s="18" t="inlineStr">
        <is>
          <t>UAT-11</t>
        </is>
      </c>
      <c r="B12" s="18" t="inlineStr">
        <is>
          <t>BR-09</t>
        </is>
      </c>
      <c r="C12" s="18" t="inlineStr">
        <is>
          <t>a draft guidance update</t>
        </is>
      </c>
      <c r="D12" s="18" t="inlineStr">
        <is>
          <t>it is approved with a future effective date</t>
        </is>
      </c>
      <c r="E12" s="18" t="inlineStr">
        <is>
          <t>users see it only from that date</t>
        </is>
      </c>
      <c r="F12" s="18" t="inlineStr">
        <is>
          <t>Released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9" min="1" max="2"/>
    <col width="26" customWidth="1" style="9" min="3" max="3"/>
    <col width="16" customWidth="1" style="9" min="4" max="4"/>
    <col width="22" customWidth="1" style="9" min="5" max="5"/>
    <col width="16" customWidth="1" style="9" min="6" max="6"/>
  </cols>
  <sheetData>
    <row r="1" ht="26.85" customHeight="1" s="10">
      <c r="A1" s="17" t="inlineStr">
        <is>
          <t>Requirement</t>
        </is>
      </c>
      <c r="B1" s="17" t="inlineStr">
        <is>
          <t>Objective ID</t>
        </is>
      </c>
      <c r="C1" s="17" t="inlineStr">
        <is>
          <t>Functional requirements</t>
        </is>
      </c>
      <c r="D1" s="17" t="inlineStr">
        <is>
          <t>User stories</t>
        </is>
      </c>
      <c r="E1" s="17" t="inlineStr">
        <is>
          <t>Test IDs</t>
        </is>
      </c>
      <c r="F1" s="17" t="inlineStr">
        <is>
          <t>Number of tests</t>
        </is>
      </c>
    </row>
    <row r="2" ht="15" customHeight="1" s="10">
      <c r="A2" s="18" t="inlineStr">
        <is>
          <t>BR-01</t>
        </is>
      </c>
      <c r="B2" s="18">
        <f>IFERROR(INDEX(Requirements!$D:$D,MATCH(A2,Requirements!$A:$A,0)),"")</f>
        <v/>
      </c>
      <c r="C2" s="18" t="inlineStr">
        <is>
          <t>FR-01</t>
        </is>
      </c>
      <c r="D2" s="18" t="inlineStr">
        <is>
          <t>US-01</t>
        </is>
      </c>
      <c r="E2" s="18" t="inlineStr">
        <is>
          <t>UAT-01</t>
        </is>
      </c>
      <c r="F2" s="18">
        <f>COUNTIF(UAT!$B:$B,A2)</f>
        <v/>
      </c>
    </row>
    <row r="3" ht="15" customHeight="1" s="10">
      <c r="A3" s="18" t="inlineStr">
        <is>
          <t>BR-02</t>
        </is>
      </c>
      <c r="B3" s="18">
        <f>IFERROR(INDEX(Requirements!$D:$D,MATCH(A3,Requirements!$A:$A,0)),"")</f>
        <v/>
      </c>
      <c r="C3" s="18" t="inlineStr">
        <is>
          <t>FR-02</t>
        </is>
      </c>
      <c r="D3" s="18" t="inlineStr">
        <is>
          <t>None</t>
        </is>
      </c>
      <c r="E3" s="18" t="inlineStr">
        <is>
          <t>UAT-02, UAT-03</t>
        </is>
      </c>
      <c r="F3" s="18">
        <f>COUNTIF(UAT!$B:$B,A3)</f>
        <v/>
      </c>
    </row>
    <row r="4" ht="15" customHeight="1" s="10">
      <c r="A4" s="18" t="inlineStr">
        <is>
          <t>BR-03</t>
        </is>
      </c>
      <c r="B4" s="18">
        <f>IFERROR(INDEX(Requirements!$D:$D,MATCH(A4,Requirements!$A:$A,0)),"")</f>
        <v/>
      </c>
      <c r="C4" s="18" t="inlineStr">
        <is>
          <t>FR-03</t>
        </is>
      </c>
      <c r="D4" s="18" t="inlineStr">
        <is>
          <t>None</t>
        </is>
      </c>
      <c r="E4" s="18" t="inlineStr">
        <is>
          <t>UAT-04</t>
        </is>
      </c>
      <c r="F4" s="18">
        <f>COUNTIF(UAT!$B:$B,A4)</f>
        <v/>
      </c>
    </row>
    <row r="5" ht="15" customHeight="1" s="10">
      <c r="A5" s="18" t="inlineStr">
        <is>
          <t>BR-04</t>
        </is>
      </c>
      <c r="B5" s="18">
        <f>IFERROR(INDEX(Requirements!$D:$D,MATCH(A5,Requirements!$A:$A,0)),"")</f>
        <v/>
      </c>
      <c r="C5" s="18" t="inlineStr">
        <is>
          <t>FR-04</t>
        </is>
      </c>
      <c r="D5" s="18" t="inlineStr">
        <is>
          <t>US-02</t>
        </is>
      </c>
      <c r="E5" s="18" t="inlineStr">
        <is>
          <t>UAT-05, UAT-06</t>
        </is>
      </c>
      <c r="F5" s="18">
        <f>COUNTIF(UAT!$B:$B,A5)</f>
        <v/>
      </c>
    </row>
    <row r="6" ht="15" customHeight="1" s="10">
      <c r="A6" s="18" t="inlineStr">
        <is>
          <t>BR-05</t>
        </is>
      </c>
      <c r="B6" s="18">
        <f>IFERROR(INDEX(Requirements!$D:$D,MATCH(A6,Requirements!$A:$A,0)),"")</f>
        <v/>
      </c>
      <c r="C6" s="18" t="inlineStr">
        <is>
          <t>FR-05</t>
        </is>
      </c>
      <c r="D6" s="18" t="inlineStr">
        <is>
          <t>None</t>
        </is>
      </c>
      <c r="E6" s="18" t="inlineStr">
        <is>
          <t>UAT-07</t>
        </is>
      </c>
      <c r="F6" s="18">
        <f>COUNTIF(UAT!$B:$B,A6)</f>
        <v/>
      </c>
    </row>
    <row r="7" ht="15" customHeight="1" s="10">
      <c r="A7" s="18" t="inlineStr">
        <is>
          <t>BR-06</t>
        </is>
      </c>
      <c r="B7" s="18">
        <f>IFERROR(INDEX(Requirements!$D:$D,MATCH(A7,Requirements!$A:$A,0)),"")</f>
        <v/>
      </c>
      <c r="C7" s="18" t="inlineStr">
        <is>
          <t>FR-06</t>
        </is>
      </c>
      <c r="D7" s="18" t="inlineStr">
        <is>
          <t>None</t>
        </is>
      </c>
      <c r="E7" s="18" t="inlineStr">
        <is>
          <t>UAT-08</t>
        </is>
      </c>
      <c r="F7" s="18">
        <f>COUNTIF(UAT!$B:$B,A7)</f>
        <v/>
      </c>
    </row>
    <row r="8" ht="15" customHeight="1" s="10">
      <c r="A8" s="18" t="inlineStr">
        <is>
          <t>BR-07</t>
        </is>
      </c>
      <c r="B8" s="18">
        <f>IFERROR(INDEX(Requirements!$D:$D,MATCH(A8,Requirements!$A:$A,0)),"")</f>
        <v/>
      </c>
      <c r="C8" s="18" t="inlineStr">
        <is>
          <t>FR-07</t>
        </is>
      </c>
      <c r="D8" s="18" t="inlineStr">
        <is>
          <t>None</t>
        </is>
      </c>
      <c r="E8" s="18" t="inlineStr">
        <is>
          <t>UAT-09</t>
        </is>
      </c>
      <c r="F8" s="18">
        <f>COUNTIF(UAT!$B:$B,A8)</f>
        <v/>
      </c>
    </row>
    <row r="9" ht="15" customHeight="1" s="10">
      <c r="A9" s="18" t="inlineStr">
        <is>
          <t>BR-08</t>
        </is>
      </c>
      <c r="B9" s="18">
        <f>IFERROR(INDEX(Requirements!$D:$D,MATCH(A9,Requirements!$A:$A,0)),"")</f>
        <v/>
      </c>
      <c r="C9" s="18" t="inlineStr">
        <is>
          <t>FR-08</t>
        </is>
      </c>
      <c r="D9" s="18" t="inlineStr">
        <is>
          <t>US-03</t>
        </is>
      </c>
      <c r="E9" s="18" t="inlineStr">
        <is>
          <t>UAT-10</t>
        </is>
      </c>
      <c r="F9" s="18">
        <f>COUNTIF(UAT!$B:$B,A9)</f>
        <v/>
      </c>
    </row>
    <row r="10" ht="15" customHeight="1" s="10">
      <c r="A10" s="18" t="inlineStr">
        <is>
          <t>BR-09</t>
        </is>
      </c>
      <c r="B10" s="18">
        <f>IFERROR(INDEX(Requirements!$D:$D,MATCH(A10,Requirements!$A:$A,0)),"")</f>
        <v/>
      </c>
      <c r="C10" s="18" t="inlineStr">
        <is>
          <t>FR-09</t>
        </is>
      </c>
      <c r="D10" s="18" t="inlineStr">
        <is>
          <t>US-04</t>
        </is>
      </c>
      <c r="E10" s="18" t="inlineStr">
        <is>
          <t>UAT-11</t>
        </is>
      </c>
      <c r="F10" s="18">
        <f>COUNTIF(UAT!$B:$B,A10)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38" customWidth="1" style="9" min="3" max="3"/>
    <col width="45" customWidth="1" style="9" min="4" max="4"/>
  </cols>
  <sheetData>
    <row r="1" ht="15" customHeight="1" s="10">
      <c r="A1" s="17" t="inlineStr">
        <is>
          <t>Field</t>
        </is>
      </c>
      <c r="B1" s="17" t="inlineStr">
        <is>
          <t>Type</t>
        </is>
      </c>
      <c r="C1" s="17" t="inlineStr">
        <is>
          <t>Definition</t>
        </is>
      </c>
      <c r="D1" s="17" t="inlineStr">
        <is>
          <t>Allowed values</t>
        </is>
      </c>
    </row>
    <row r="2" ht="15" customHeight="1" s="10">
      <c r="A2" s="18" t="inlineStr">
        <is>
          <t>taxpayer_id</t>
        </is>
      </c>
      <c r="B2" s="18" t="inlineStr">
        <is>
          <t>Text</t>
        </is>
      </c>
      <c r="C2" s="18" t="inlineStr">
        <is>
          <t>Controlled user identifier</t>
        </is>
      </c>
      <c r="D2" s="18" t="inlineStr">
        <is>
          <t>Internal ID</t>
        </is>
      </c>
    </row>
    <row r="3" ht="15" customHeight="1" s="10">
      <c r="A3" s="18" t="inlineStr">
        <is>
          <t>taxpayer_type</t>
        </is>
      </c>
      <c r="B3" s="18" t="inlineStr">
        <is>
          <t>Category</t>
        </is>
      </c>
      <c r="C3" s="18" t="inlineStr">
        <is>
          <t>Classified route</t>
        </is>
      </c>
      <c r="D3" s="18" t="inlineStr">
        <is>
          <t>PAYE, Freelancer, BN, RC</t>
        </is>
      </c>
    </row>
    <row r="4" ht="15" customHeight="1" s="10">
      <c r="A4" s="18" t="inlineStr">
        <is>
          <t>income_value</t>
        </is>
      </c>
      <c r="B4" s="18" t="inlineStr">
        <is>
          <t>Decimal</t>
        </is>
      </c>
      <c r="C4" s="18" t="inlineStr">
        <is>
          <t>Declared income for the period</t>
        </is>
      </c>
      <c r="D4" s="18" t="inlineStr">
        <is>
          <t>Naira, 2 dp</t>
        </is>
      </c>
    </row>
    <row r="5" ht="15" customHeight="1" s="10">
      <c r="A5" s="18" t="inlineStr">
        <is>
          <t>evidence_status</t>
        </is>
      </c>
      <c r="B5" s="18" t="inlineStr">
        <is>
          <t>Category</t>
        </is>
      </c>
      <c r="C5" s="18" t="inlineStr">
        <is>
          <t>Evidence for each entry</t>
        </is>
      </c>
      <c r="D5" s="18" t="inlineStr">
        <is>
          <t>Uploaded, Pending, Not required</t>
        </is>
      </c>
    </row>
    <row r="6" ht="15" customHeight="1" s="10">
      <c r="A6" s="18" t="inlineStr">
        <is>
          <t>rule_version</t>
        </is>
      </c>
      <c r="B6" s="18" t="inlineStr">
        <is>
          <t>Text</t>
        </is>
      </c>
      <c r="C6" s="18" t="inlineStr">
        <is>
          <t>Rule table version applied</t>
        </is>
      </c>
      <c r="D6" s="18" t="inlineStr">
        <is>
          <t>RULE-YYYY-NN</t>
        </is>
      </c>
    </row>
    <row r="7" ht="15" customHeight="1" s="10">
      <c r="A7" s="18" t="inlineStr">
        <is>
          <t>journey_stage</t>
        </is>
      </c>
      <c r="B7" s="18" t="inlineStr">
        <is>
          <t>Category</t>
        </is>
      </c>
      <c r="C7" s="18" t="inlineStr">
        <is>
          <t>Filing progress</t>
        </is>
      </c>
      <c r="D7" s="18" t="inlineStr">
        <is>
          <t>File, Pay, Confirm, Certificate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2026-09-25T01:59:53Z</dcterms:created>
  <dcterms:modified xmlns:dcterms="http://purl.org/dc/terms/" xmlns:xsi="http://www.w3.org/2001/XMLSchema-instance" xsi:type="dcterms:W3CDTF">2026-09-25T03:27:21Z</dcterms:modified>
  <cp:revision>0</cp:revision>
</cp:coreProperties>
</file>