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Objectives" sheetId="2" state="visible" r:id="rId4"/>
    <sheet name="Requirements" sheetId="3" state="visible" r:id="rId5"/>
    <sheet name="Functional" sheetId="4" state="visible" r:id="rId6"/>
    <sheet name="User Stories" sheetId="5" state="visible" r:id="rId7"/>
    <sheet name="Stakeholders" sheetId="6" state="visible" r:id="rId8"/>
    <sheet name="RAID" sheetId="7" state="visible" r:id="rId9"/>
    <sheet name="UAT" sheetId="8" state="visible" r:id="rId10"/>
    <sheet name="Traceability" sheetId="9" state="visible" r:id="rId11"/>
    <sheet name="Data Dictiona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<sst xmlns="http://schemas.openxmlformats.org/spreadsheetml/2006/main" count="265" uniqueCount="191">
  <si>
    <t xml:space="preserve">Healthcare Facilities Request Handling</t>
  </si>
  <si>
    <t xml:space="preserve">Status</t>
  </si>
  <si>
    <t xml:space="preserve">Generalised operational analysis</t>
  </si>
  <si>
    <t xml:space="preserve">Domain</t>
  </si>
  <si>
    <t xml:space="preserve">Healthcare support services</t>
  </si>
  <si>
    <t xml:space="preserve">Role</t>
  </si>
  <si>
    <t xml:space="preserve">Facilities and quality support</t>
  </si>
  <si>
    <t xml:space="preserve">Business problem</t>
  </si>
  <si>
    <t xml:space="preserve">Facilities requests in a healthcare setting can arrive without impact context, stall on access or resource constraints, and recur without anyone seeing the pattern.</t>
  </si>
  <si>
    <t xml:space="preserve">Measure</t>
  </si>
  <si>
    <t xml:space="preserve">Value</t>
  </si>
  <si>
    <t xml:space="preserve">Source</t>
  </si>
  <si>
    <t xml:space="preserve">Business requirements</t>
  </si>
  <si>
    <t xml:space="preserve">Requirements</t>
  </si>
  <si>
    <t xml:space="preserve">Must requirements</t>
  </si>
  <si>
    <t xml:space="preserve">Should requirements</t>
  </si>
  <si>
    <t xml:space="preserve">Functional requirements</t>
  </si>
  <si>
    <t xml:space="preserve">Functional</t>
  </si>
  <si>
    <t xml:space="preserve">Requirements with a test</t>
  </si>
  <si>
    <t xml:space="preserve">Traceability</t>
  </si>
  <si>
    <t xml:space="preserve">Tests with status "Not applicable (analysis only)"</t>
  </si>
  <si>
    <t xml:space="preserve">UAT</t>
  </si>
  <si>
    <t xml:space="preserve">High risks</t>
  </si>
  <si>
    <t xml:space="preserve">RAID</t>
  </si>
  <si>
    <t xml:space="preserve">Stakeholder groups</t>
  </si>
  <si>
    <t xml:space="preserve">Stakeholders</t>
  </si>
  <si>
    <t xml:space="preserve">Counts are formulas and update when rows are added. Status values are recorded on the UAT sheet.</t>
  </si>
  <si>
    <t xml:space="preserve">Objective ID</t>
  </si>
  <si>
    <t xml:space="preserve">Objective</t>
  </si>
  <si>
    <t xml:space="preserve">OBJ-01</t>
  </si>
  <si>
    <t xml:space="preserve">Record service requests accurately</t>
  </si>
  <si>
    <t xml:space="preserve">OBJ-02</t>
  </si>
  <si>
    <t xml:space="preserve">Prioritise by safety impact and urgency</t>
  </si>
  <si>
    <t xml:space="preserve">OBJ-03</t>
  </si>
  <si>
    <t xml:space="preserve">Escalate constraints through a named route</t>
  </si>
  <si>
    <t xml:space="preserve">OBJ-04</t>
  </si>
  <si>
    <t xml:space="preserve">Use recurrence evidence for corrective action</t>
  </si>
  <si>
    <t xml:space="preserve">ID</t>
  </si>
  <si>
    <t xml:space="preserve">Requirement</t>
  </si>
  <si>
    <t xml:space="preserve">Priority</t>
  </si>
  <si>
    <t xml:space="preserve">Acceptance criterion</t>
  </si>
  <si>
    <t xml:space="preserve">BR-01</t>
  </si>
  <si>
    <t xml:space="preserve">Requests record location, timing and impact</t>
  </si>
  <si>
    <t xml:space="preserve">Must</t>
  </si>
  <si>
    <t xml:space="preserve">Required facts are present before work is assigned</t>
  </si>
  <si>
    <t xml:space="preserve">BR-02</t>
  </si>
  <si>
    <t xml:space="preserve">Safety and infection risks are prioritised immediately</t>
  </si>
  <si>
    <t xml:space="preserve">High-risk requests are escalated at intake</t>
  </si>
  <si>
    <t xml:space="preserve">BR-03</t>
  </si>
  <si>
    <t xml:space="preserve">Access and resource constraints have a named owner</t>
  </si>
  <si>
    <t xml:space="preserve">Escalation owner and status are visible</t>
  </si>
  <si>
    <t xml:space="preserve">BR-04</t>
  </si>
  <si>
    <t xml:space="preserve">Closure evidence is retained</t>
  </si>
  <si>
    <t xml:space="preserve">Should</t>
  </si>
  <si>
    <t xml:space="preserve">Closure is recorded consistently</t>
  </si>
  <si>
    <t xml:space="preserve">BR-05</t>
  </si>
  <si>
    <t xml:space="preserve">Recurring issues can be identified</t>
  </si>
  <si>
    <t xml:space="preserve">Records can be grouped by type and location</t>
  </si>
  <si>
    <t xml:space="preserve">Parent BR</t>
  </si>
  <si>
    <t xml:space="preserve">System behaviour</t>
  </si>
  <si>
    <t xml:space="preserve">Business rule or validation</t>
  </si>
  <si>
    <t xml:space="preserve">FR-01</t>
  </si>
  <si>
    <t xml:space="preserve">Intake captures location, time, issue type and impact</t>
  </si>
  <si>
    <t xml:space="preserve">Submission blocked if impact is missing</t>
  </si>
  <si>
    <t xml:space="preserve">FR-02</t>
  </si>
  <si>
    <t xml:space="preserve">Safety or infection flag sets top priority</t>
  </si>
  <si>
    <t xml:space="preserve">Flagged requests notify the supervisor</t>
  </si>
  <si>
    <t xml:space="preserve">FR-03</t>
  </si>
  <si>
    <t xml:space="preserve">Escalation records owner, constraint and target date</t>
  </si>
  <si>
    <t xml:space="preserve">Open escalations listed by age</t>
  </si>
  <si>
    <t xml:space="preserve">FR-04</t>
  </si>
  <si>
    <t xml:space="preserve">Closure requires completion note</t>
  </si>
  <si>
    <t xml:space="preserve">Closed requests cannot be edited</t>
  </si>
  <si>
    <t xml:space="preserve">FR-05</t>
  </si>
  <si>
    <t xml:space="preserve">Monthly view groups requests by type and location</t>
  </si>
  <si>
    <t xml:space="preserve">Three or more repeats flag a pattern</t>
  </si>
  <si>
    <t xml:space="preserve">As a</t>
  </si>
  <si>
    <t xml:space="preserve">I want</t>
  </si>
  <si>
    <t xml:space="preserve">So that</t>
  </si>
  <si>
    <t xml:space="preserve">Given</t>
  </si>
  <si>
    <t xml:space="preserve">When</t>
  </si>
  <si>
    <t xml:space="preserve">Then</t>
  </si>
  <si>
    <t xml:space="preserve">US-01</t>
  </si>
  <si>
    <t xml:space="preserve">supervisor</t>
  </si>
  <si>
    <t xml:space="preserve">to see repeat issues by location</t>
  </si>
  <si>
    <t xml:space="preserve">I can fix causes, not symptoms</t>
  </si>
  <si>
    <t xml:space="preserve">a month of closed requests</t>
  </si>
  <si>
    <t xml:space="preserve">I open the recurrence view</t>
  </si>
  <si>
    <t xml:space="preserve">locations with three or more repeats are flagged</t>
  </si>
  <si>
    <t xml:space="preserve">Stakeholder</t>
  </si>
  <si>
    <t xml:space="preserve">Influence</t>
  </si>
  <si>
    <t xml:space="preserve">Interest</t>
  </si>
  <si>
    <t xml:space="preserve">Primary interest</t>
  </si>
  <si>
    <t xml:space="preserve">Information need</t>
  </si>
  <si>
    <t xml:space="preserve">Method</t>
  </si>
  <si>
    <t xml:space="preserve">Cadence</t>
  </si>
  <si>
    <t xml:space="preserve">Approach</t>
  </si>
  <si>
    <t xml:space="preserve">Clinical colleagues</t>
  </si>
  <si>
    <t xml:space="preserve">Medium</t>
  </si>
  <si>
    <t xml:space="preserve">High</t>
  </si>
  <si>
    <t xml:space="preserve">Safe uninterrupted service</t>
  </si>
  <si>
    <t xml:space="preserve">Status of their request</t>
  </si>
  <si>
    <t xml:space="preserve">Request acknowledgement</t>
  </si>
  <si>
    <t xml:space="preserve">Per request</t>
  </si>
  <si>
    <t xml:space="preserve">Keep informed</t>
  </si>
  <si>
    <t xml:space="preserve">Facilities team</t>
  </si>
  <si>
    <t xml:space="preserve">Clear requests and priorities</t>
  </si>
  <si>
    <t xml:space="preserve">Assigned work, priorities</t>
  </si>
  <si>
    <t xml:space="preserve">Shift handover</t>
  </si>
  <si>
    <t xml:space="preserve">Each shift</t>
  </si>
  <si>
    <t xml:space="preserve">Supervisors</t>
  </si>
  <si>
    <t xml:space="preserve">Evidence and resource decisions</t>
  </si>
  <si>
    <t xml:space="preserve">Escalations, patterns</t>
  </si>
  <si>
    <t xml:space="preserve">Escalation list and monthly review</t>
  </si>
  <si>
    <t xml:space="preserve">Daily and monthly</t>
  </si>
  <si>
    <t xml:space="preserve">Manage closely</t>
  </si>
  <si>
    <t xml:space="preserve">Quality and audit</t>
  </si>
  <si>
    <t xml:space="preserve">Compliance and recurrence</t>
  </si>
  <si>
    <t xml:space="preserve">Trends, closure evidence</t>
  </si>
  <si>
    <t xml:space="preserve">Monthly quality report</t>
  </si>
  <si>
    <t xml:space="preserve">Monthly</t>
  </si>
  <si>
    <t xml:space="preserve">Keep satisfied</t>
  </si>
  <si>
    <t xml:space="preserve">Risk</t>
  </si>
  <si>
    <t xml:space="preserve">Severity</t>
  </si>
  <si>
    <t xml:space="preserve">Response</t>
  </si>
  <si>
    <t xml:space="preserve">Owner</t>
  </si>
  <si>
    <t xml:space="preserve">R-01</t>
  </si>
  <si>
    <t xml:space="preserve">Urgent issue misprioritised</t>
  </si>
  <si>
    <t xml:space="preserve">Impact criteria and safety flag</t>
  </si>
  <si>
    <t xml:space="preserve">Supervisor</t>
  </si>
  <si>
    <t xml:space="preserve">R-02</t>
  </si>
  <si>
    <t xml:space="preserve">Record lacks evidence</t>
  </si>
  <si>
    <t xml:space="preserve">Required intake fields</t>
  </si>
  <si>
    <t xml:space="preserve">Facilities lead</t>
  </si>
  <si>
    <t xml:space="preserve">R-03</t>
  </si>
  <si>
    <t xml:space="preserve">Sensitive information disclosed</t>
  </si>
  <si>
    <t xml:space="preserve">No patient data in requests</t>
  </si>
  <si>
    <t xml:space="preserve">R-04</t>
  </si>
  <si>
    <t xml:space="preserve">Recurring issue stays local</t>
  </si>
  <si>
    <t xml:space="preserve">Monthly recurrence review</t>
  </si>
  <si>
    <t xml:space="preserve">Quality lead</t>
  </si>
  <si>
    <t xml:space="preserve">Test ID</t>
  </si>
  <si>
    <t xml:space="preserve">UAT-01</t>
  </si>
  <si>
    <t xml:space="preserve">a request without impact</t>
  </si>
  <si>
    <t xml:space="preserve">it is submitted</t>
  </si>
  <si>
    <t xml:space="preserve">submission is blocked</t>
  </si>
  <si>
    <t xml:space="preserve">Not applicable (analysis only)</t>
  </si>
  <si>
    <t xml:space="preserve">UAT-02</t>
  </si>
  <si>
    <t xml:space="preserve">an infection-risk request</t>
  </si>
  <si>
    <t xml:space="preserve">it is top priority and the supervisor is notified</t>
  </si>
  <si>
    <t xml:space="preserve">UAT-03</t>
  </si>
  <si>
    <t xml:space="preserve">an access constraint</t>
  </si>
  <si>
    <t xml:space="preserve">it is escalated</t>
  </si>
  <si>
    <t xml:space="preserve">owner and target date are recorded</t>
  </si>
  <si>
    <t xml:space="preserve">UAT-04</t>
  </si>
  <si>
    <t xml:space="preserve">a completed task</t>
  </si>
  <si>
    <t xml:space="preserve">it is closed</t>
  </si>
  <si>
    <t xml:space="preserve">a completion note is required</t>
  </si>
  <si>
    <t xml:space="preserve">UAT-05</t>
  </si>
  <si>
    <t xml:space="preserve">three repeats in one location</t>
  </si>
  <si>
    <t xml:space="preserve">the monthly view opens</t>
  </si>
  <si>
    <t xml:space="preserve">the location is flagged</t>
  </si>
  <si>
    <t xml:space="preserve">User stories</t>
  </si>
  <si>
    <t xml:space="preserve">Test IDs</t>
  </si>
  <si>
    <t xml:space="preserve">Number of tests</t>
  </si>
  <si>
    <t xml:space="preserve">None</t>
  </si>
  <si>
    <t xml:space="preserve">Field</t>
  </si>
  <si>
    <t xml:space="preserve">Type</t>
  </si>
  <si>
    <t xml:space="preserve">Definition</t>
  </si>
  <si>
    <t xml:space="preserve">Allowed values</t>
  </si>
  <si>
    <t xml:space="preserve">request_id</t>
  </si>
  <si>
    <t xml:space="preserve">Text</t>
  </si>
  <si>
    <t xml:space="preserve">Unique service request</t>
  </si>
  <si>
    <t xml:space="preserve">REQ-0001 format</t>
  </si>
  <si>
    <t xml:space="preserve">issue_type</t>
  </si>
  <si>
    <t xml:space="preserve">Category</t>
  </si>
  <si>
    <t xml:space="preserve">Operational issue class</t>
  </si>
  <si>
    <t xml:space="preserve">Cleaning, Waste, Access, Supplies, Other</t>
  </si>
  <si>
    <t xml:space="preserve">location</t>
  </si>
  <si>
    <t xml:space="preserve">Service location</t>
  </si>
  <si>
    <t xml:space="preserve">Area code only</t>
  </si>
  <si>
    <t xml:space="preserve">reported_at</t>
  </si>
  <si>
    <t xml:space="preserve">Datetime</t>
  </si>
  <si>
    <t xml:space="preserve">Request time</t>
  </si>
  <si>
    <t xml:space="preserve">ISO 8601</t>
  </si>
  <si>
    <t xml:space="preserve">priority</t>
  </si>
  <si>
    <t xml:space="preserve">Impact and urgency</t>
  </si>
  <si>
    <t xml:space="preserve">Immediate, High, Routine</t>
  </si>
  <si>
    <t xml:space="preserve">status</t>
  </si>
  <si>
    <t xml:space="preserve">Request state</t>
  </si>
  <si>
    <t xml:space="preserve">Open, Escalated, Closed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</si>
</sst>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5253D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64748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25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525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9" customFormat="false" ht="15" hidden="false" customHeight="false" outlineLevel="0" collapsed="false">
      <c r="A9" s="4" t="s">
        <v>9</v>
      </c>
      <c r="B9" s="4" t="s">
        <v>10</v>
      </c>
      <c r="C9" s="4" t="s">
        <v>11</v>
      </c>
    </row>
    <row r="10" customFormat="false" ht="15" hidden="false" customHeight="false" outlineLevel="0" collapsed="false">
      <c r="A10" s="5" t="s">
        <v>12</v>
      </c>
      <c r="B10" s="5" t="n">
        <f aca="false">COUNTA(Requirements!A2:A200)</f>
        <v>5</v>
      </c>
      <c r="C10" s="5" t="s">
        <v>13</v>
      </c>
    </row>
    <row r="11" customFormat="false" ht="15" hidden="false" customHeight="false" outlineLevel="0" collapsed="false">
      <c r="A11" s="5" t="s">
        <v>14</v>
      </c>
      <c r="B11" s="5" t="n">
        <f aca="false">COUNTIF(Requirements!C2:C200,"Must")</f>
        <v>3</v>
      </c>
      <c r="C11" s="5" t="s">
        <v>13</v>
      </c>
    </row>
    <row r="12" customFormat="false" ht="15" hidden="false" customHeight="false" outlineLevel="0" collapsed="false">
      <c r="A12" s="5" t="s">
        <v>15</v>
      </c>
      <c r="B12" s="5" t="n">
        <f aca="false">COUNTIF(Requirements!C2:C200,"Should")</f>
        <v>2</v>
      </c>
      <c r="C12" s="5" t="s">
        <v>13</v>
      </c>
    </row>
    <row r="13" customFormat="false" ht="15" hidden="false" customHeight="false" outlineLevel="0" collapsed="false">
      <c r="A13" s="5" t="s">
        <v>16</v>
      </c>
      <c r="B13" s="5" t="n">
        <f aca="false">COUNTA(Functional!A2:A200)</f>
        <v>5</v>
      </c>
      <c r="C13" s="5" t="s">
        <v>17</v>
      </c>
    </row>
    <row r="14" customFormat="false" ht="15" hidden="false" customHeight="false" outlineLevel="0" collapsed="false">
      <c r="A14" s="5" t="s">
        <v>18</v>
      </c>
      <c r="B14" s="5" t="n">
        <f aca="false">COUNTIF(Traceability!F2:F200,"&gt;0")</f>
        <v>5</v>
      </c>
      <c r="C14" s="5" t="s">
        <v>19</v>
      </c>
    </row>
    <row r="15" customFormat="false" ht="15" hidden="false" customHeight="false" outlineLevel="0" collapsed="false">
      <c r="A15" s="5" t="s">
        <v>20</v>
      </c>
      <c r="B15" s="5" t="n">
        <f aca="false">COUNTIF(UAT!F2:F200,"Not applicable (analysis only)")</f>
        <v>5</v>
      </c>
      <c r="C15" s="5" t="s">
        <v>21</v>
      </c>
    </row>
    <row r="16" customFormat="false" ht="15" hidden="false" customHeight="false" outlineLevel="0" collapsed="false">
      <c r="A16" s="5" t="s">
        <v>22</v>
      </c>
      <c r="B16" s="5" t="n">
        <f aca="false">COUNTIF(RAID!C2:C200,"High")</f>
        <v>2</v>
      </c>
      <c r="C16" s="5" t="s">
        <v>23</v>
      </c>
    </row>
    <row r="17" customFormat="false" ht="15" hidden="false" customHeight="false" outlineLevel="0" collapsed="false">
      <c r="A17" s="5" t="s">
        <v>24</v>
      </c>
      <c r="B17" s="5" t="n">
        <f aca="false">COUNTA(Stakeholders!A2:A200)</f>
        <v>4</v>
      </c>
      <c r="C17" s="5" t="s">
        <v>25</v>
      </c>
    </row>
    <row r="19" customFormat="false" ht="15" hidden="false" customHeight="false" outlineLevel="0" collapsed="false">
      <c r="A19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27</v>
      </c>
      <c r="B1" s="7" t="s">
        <v>28</v>
      </c>
    </row>
    <row r="2" customFormat="false" ht="15" hidden="false" customHeight="false" outlineLevel="0" collapsed="false">
      <c r="A2" s="8" t="s">
        <v>29</v>
      </c>
      <c r="B2" s="8" t="s">
        <v>30</v>
      </c>
    </row>
    <row r="3" customFormat="false" ht="15" hidden="false" customHeight="false" outlineLevel="0" collapsed="false">
      <c r="A3" s="8" t="s">
        <v>31</v>
      </c>
      <c r="B3" s="8" t="s">
        <v>32</v>
      </c>
    </row>
    <row r="4" customFormat="false" ht="15" hidden="false" customHeight="false" outlineLevel="0" collapsed="false">
      <c r="A4" s="8" t="s">
        <v>33</v>
      </c>
      <c r="B4" s="8" t="s">
        <v>34</v>
      </c>
    </row>
    <row r="5" customFormat="false" ht="15" hidden="false" customHeight="false" outlineLevel="0" collapsed="false">
      <c r="A5" s="8" t="s">
        <v>35</v>
      </c>
      <c r="B5" s="8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40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7" t="s">
        <v>37</v>
      </c>
      <c r="B1" s="7" t="s">
        <v>38</v>
      </c>
      <c r="C1" s="7" t="s">
        <v>39</v>
      </c>
      <c r="D1" s="7" t="s">
        <v>27</v>
      </c>
      <c r="E1" s="7" t="s">
        <v>28</v>
      </c>
      <c r="F1" s="7" t="s">
        <v>40</v>
      </c>
    </row>
    <row r="2" customFormat="false" ht="15" hidden="false" customHeight="false" outlineLevel="0" collapsed="false">
      <c r="A2" s="8" t="s">
        <v>41</v>
      </c>
      <c r="B2" s="8" t="s">
        <v>42</v>
      </c>
      <c r="C2" s="8" t="s">
        <v>43</v>
      </c>
      <c r="D2" s="8" t="s">
        <v>29</v>
      </c>
      <c r="E2" s="8" t="str">
        <f aca="false">IFERROR(INDEX(Objectives!$B:$B,MATCH(D2,Objectives!$A:$A,0)),"Check objective ID")</f>
        <v>Record service requests accurately</v>
      </c>
      <c r="F2" s="8" t="s">
        <v>44</v>
      </c>
    </row>
    <row r="3" customFormat="false" ht="15" hidden="false" customHeight="false" outlineLevel="0" collapsed="false">
      <c r="A3" s="8" t="s">
        <v>45</v>
      </c>
      <c r="B3" s="8" t="s">
        <v>46</v>
      </c>
      <c r="C3" s="8" t="s">
        <v>43</v>
      </c>
      <c r="D3" s="8" t="s">
        <v>31</v>
      </c>
      <c r="E3" s="8" t="str">
        <f aca="false">IFERROR(INDEX(Objectives!$B:$B,MATCH(D3,Objectives!$A:$A,0)),"Check objective ID")</f>
        <v>Prioritise by safety impact and urgency</v>
      </c>
      <c r="F3" s="8" t="s">
        <v>47</v>
      </c>
    </row>
    <row r="4" customFormat="false" ht="15" hidden="false" customHeight="false" outlineLevel="0" collapsed="false">
      <c r="A4" s="8" t="s">
        <v>48</v>
      </c>
      <c r="B4" s="8" t="s">
        <v>49</v>
      </c>
      <c r="C4" s="8" t="s">
        <v>43</v>
      </c>
      <c r="D4" s="8" t="s">
        <v>33</v>
      </c>
      <c r="E4" s="8" t="str">
        <f aca="false">IFERROR(INDEX(Objectives!$B:$B,MATCH(D4,Objectives!$A:$A,0)),"Check objective ID")</f>
        <v>Escalate constraints through a named route</v>
      </c>
      <c r="F4" s="8" t="s">
        <v>50</v>
      </c>
    </row>
    <row r="5" customFormat="false" ht="15" hidden="false" customHeight="false" outlineLevel="0" collapsed="false">
      <c r="A5" s="8" t="s">
        <v>51</v>
      </c>
      <c r="B5" s="8" t="s">
        <v>52</v>
      </c>
      <c r="C5" s="8" t="s">
        <v>53</v>
      </c>
      <c r="D5" s="8" t="s">
        <v>29</v>
      </c>
      <c r="E5" s="8" t="str">
        <f aca="false">IFERROR(INDEX(Objectives!$B:$B,MATCH(D5,Objectives!$A:$A,0)),"Check objective ID")</f>
        <v>Record service requests accurately</v>
      </c>
      <c r="F5" s="8" t="s">
        <v>54</v>
      </c>
    </row>
    <row r="6" customFormat="false" ht="15" hidden="false" customHeight="false" outlineLevel="0" collapsed="false">
      <c r="A6" s="8" t="s">
        <v>55</v>
      </c>
      <c r="B6" s="8" t="s">
        <v>56</v>
      </c>
      <c r="C6" s="8" t="s">
        <v>53</v>
      </c>
      <c r="D6" s="8" t="s">
        <v>35</v>
      </c>
      <c r="E6" s="8" t="str">
        <f aca="false">IFERROR(INDEX(Objectives!$B:$B,MATCH(D6,Objectives!$A:$A,0)),"Check objective ID")</f>
        <v>Use recurrence evidence for corrective action</v>
      </c>
      <c r="F6" s="8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7" t="s">
        <v>37</v>
      </c>
      <c r="B1" s="7" t="s">
        <v>58</v>
      </c>
      <c r="C1" s="7" t="s">
        <v>59</v>
      </c>
      <c r="D1" s="7" t="s">
        <v>60</v>
      </c>
    </row>
    <row r="2" customFormat="false" ht="15" hidden="false" customHeight="false" outlineLevel="0" collapsed="false">
      <c r="A2" s="8" t="s">
        <v>61</v>
      </c>
      <c r="B2" s="8" t="s">
        <v>41</v>
      </c>
      <c r="C2" s="8" t="s">
        <v>62</v>
      </c>
      <c r="D2" s="8" t="s">
        <v>63</v>
      </c>
    </row>
    <row r="3" customFormat="false" ht="15" hidden="false" customHeight="false" outlineLevel="0" collapsed="false">
      <c r="A3" s="8" t="s">
        <v>64</v>
      </c>
      <c r="B3" s="8" t="s">
        <v>45</v>
      </c>
      <c r="C3" s="8" t="s">
        <v>65</v>
      </c>
      <c r="D3" s="8" t="s">
        <v>66</v>
      </c>
    </row>
    <row r="4" customFormat="false" ht="15" hidden="false" customHeight="false" outlineLevel="0" collapsed="false">
      <c r="A4" s="8" t="s">
        <v>67</v>
      </c>
      <c r="B4" s="8" t="s">
        <v>48</v>
      </c>
      <c r="C4" s="8" t="s">
        <v>68</v>
      </c>
      <c r="D4" s="8" t="s">
        <v>69</v>
      </c>
    </row>
    <row r="5" customFormat="false" ht="15" hidden="false" customHeight="false" outlineLevel="0" collapsed="false">
      <c r="A5" s="8" t="s">
        <v>70</v>
      </c>
      <c r="B5" s="8" t="s">
        <v>51</v>
      </c>
      <c r="C5" s="8" t="s">
        <v>71</v>
      </c>
      <c r="D5" s="8" t="s">
        <v>72</v>
      </c>
    </row>
    <row r="6" customFormat="false" ht="15" hidden="false" customHeight="false" outlineLevel="0" collapsed="false">
      <c r="A6" s="8" t="s">
        <v>73</v>
      </c>
      <c r="B6" s="8" t="s">
        <v>55</v>
      </c>
      <c r="C6" s="8" t="s">
        <v>74</v>
      </c>
      <c r="D6" s="8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35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7" t="s">
        <v>37</v>
      </c>
      <c r="B1" s="7" t="s">
        <v>58</v>
      </c>
      <c r="C1" s="7" t="s">
        <v>76</v>
      </c>
      <c r="D1" s="7" t="s">
        <v>77</v>
      </c>
      <c r="E1" s="7" t="s">
        <v>78</v>
      </c>
      <c r="F1" s="7" t="s">
        <v>79</v>
      </c>
      <c r="G1" s="7" t="s">
        <v>80</v>
      </c>
      <c r="H1" s="7" t="s">
        <v>81</v>
      </c>
    </row>
    <row r="2" customFormat="false" ht="15" hidden="false" customHeight="false" outlineLevel="0" collapsed="false">
      <c r="A2" s="8" t="s">
        <v>82</v>
      </c>
      <c r="B2" s="8" t="s">
        <v>55</v>
      </c>
      <c r="C2" s="8" t="s">
        <v>83</v>
      </c>
      <c r="D2" s="8" t="s">
        <v>84</v>
      </c>
      <c r="E2" s="8" t="s">
        <v>85</v>
      </c>
      <c r="F2" s="8" t="s">
        <v>86</v>
      </c>
      <c r="G2" s="8" t="s">
        <v>87</v>
      </c>
      <c r="H2" s="8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6" min="4" style="0" width="32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7" t="s">
        <v>89</v>
      </c>
      <c r="B1" s="7" t="s">
        <v>90</v>
      </c>
      <c r="C1" s="7" t="s">
        <v>91</v>
      </c>
      <c r="D1" s="7" t="s">
        <v>92</v>
      </c>
      <c r="E1" s="7" t="s">
        <v>93</v>
      </c>
      <c r="F1" s="7" t="s">
        <v>94</v>
      </c>
      <c r="G1" s="7" t="s">
        <v>95</v>
      </c>
      <c r="H1" s="7" t="s">
        <v>96</v>
      </c>
    </row>
    <row r="2" customFormat="false" ht="15" hidden="false" customHeight="false" outlineLevel="0" collapsed="false">
      <c r="A2" s="8" t="s">
        <v>97</v>
      </c>
      <c r="B2" s="8" t="s">
        <v>98</v>
      </c>
      <c r="C2" s="8" t="s">
        <v>99</v>
      </c>
      <c r="D2" s="8" t="s">
        <v>100</v>
      </c>
      <c r="E2" s="8" t="s">
        <v>101</v>
      </c>
      <c r="F2" s="8" t="s">
        <v>102</v>
      </c>
      <c r="G2" s="8" t="s">
        <v>103</v>
      </c>
      <c r="H2" s="8" t="s">
        <v>104</v>
      </c>
    </row>
    <row r="3" customFormat="false" ht="15" hidden="false" customHeight="false" outlineLevel="0" collapsed="false">
      <c r="A3" s="8" t="s">
        <v>105</v>
      </c>
      <c r="B3" s="8" t="s">
        <v>98</v>
      </c>
      <c r="C3" s="8" t="s">
        <v>99</v>
      </c>
      <c r="D3" s="8" t="s">
        <v>106</v>
      </c>
      <c r="E3" s="8" t="s">
        <v>107</v>
      </c>
      <c r="F3" s="8" t="s">
        <v>108</v>
      </c>
      <c r="G3" s="8" t="s">
        <v>109</v>
      </c>
      <c r="H3" s="8" t="s">
        <v>104</v>
      </c>
    </row>
    <row r="4" customFormat="false" ht="15" hidden="false" customHeight="false" outlineLevel="0" collapsed="false">
      <c r="A4" s="8" t="s">
        <v>110</v>
      </c>
      <c r="B4" s="8" t="s">
        <v>99</v>
      </c>
      <c r="C4" s="8" t="s">
        <v>99</v>
      </c>
      <c r="D4" s="8" t="s">
        <v>111</v>
      </c>
      <c r="E4" s="8" t="s">
        <v>112</v>
      </c>
      <c r="F4" s="8" t="s">
        <v>113</v>
      </c>
      <c r="G4" s="8" t="s">
        <v>114</v>
      </c>
      <c r="H4" s="8" t="s">
        <v>115</v>
      </c>
    </row>
    <row r="5" customFormat="false" ht="15" hidden="false" customHeight="false" outlineLevel="0" collapsed="false">
      <c r="A5" s="8" t="s">
        <v>116</v>
      </c>
      <c r="B5" s="8" t="s">
        <v>99</v>
      </c>
      <c r="C5" s="8" t="s">
        <v>98</v>
      </c>
      <c r="D5" s="8" t="s">
        <v>117</v>
      </c>
      <c r="E5" s="8" t="s">
        <v>118</v>
      </c>
      <c r="F5" s="8" t="s">
        <v>119</v>
      </c>
      <c r="G5" s="8" t="s">
        <v>120</v>
      </c>
      <c r="H5" s="8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7" t="s">
        <v>37</v>
      </c>
      <c r="B1" s="7" t="s">
        <v>122</v>
      </c>
      <c r="C1" s="7" t="s">
        <v>123</v>
      </c>
      <c r="D1" s="7" t="s">
        <v>124</v>
      </c>
      <c r="E1" s="7" t="s">
        <v>125</v>
      </c>
    </row>
    <row r="2" customFormat="false" ht="15" hidden="false" customHeight="false" outlineLevel="0" collapsed="false">
      <c r="A2" s="8" t="s">
        <v>126</v>
      </c>
      <c r="B2" s="8" t="s">
        <v>127</v>
      </c>
      <c r="C2" s="8" t="s">
        <v>99</v>
      </c>
      <c r="D2" s="8" t="s">
        <v>128</v>
      </c>
      <c r="E2" s="8" t="s">
        <v>129</v>
      </c>
    </row>
    <row r="3" customFormat="false" ht="15" hidden="false" customHeight="false" outlineLevel="0" collapsed="false">
      <c r="A3" s="8" t="s">
        <v>130</v>
      </c>
      <c r="B3" s="8" t="s">
        <v>131</v>
      </c>
      <c r="C3" s="8" t="s">
        <v>98</v>
      </c>
      <c r="D3" s="8" t="s">
        <v>132</v>
      </c>
      <c r="E3" s="8" t="s">
        <v>133</v>
      </c>
    </row>
    <row r="4" customFormat="false" ht="15" hidden="false" customHeight="false" outlineLevel="0" collapsed="false">
      <c r="A4" s="8" t="s">
        <v>134</v>
      </c>
      <c r="B4" s="8" t="s">
        <v>135</v>
      </c>
      <c r="C4" s="8" t="s">
        <v>99</v>
      </c>
      <c r="D4" s="8" t="s">
        <v>136</v>
      </c>
      <c r="E4" s="8" t="s">
        <v>129</v>
      </c>
    </row>
    <row r="5" customFormat="false" ht="15" hidden="false" customHeight="false" outlineLevel="0" collapsed="false">
      <c r="A5" s="8" t="s">
        <v>137</v>
      </c>
      <c r="B5" s="8" t="s">
        <v>138</v>
      </c>
      <c r="C5" s="8" t="s">
        <v>98</v>
      </c>
      <c r="D5" s="8" t="s">
        <v>139</v>
      </c>
      <c r="E5" s="8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26"/>
  </cols>
  <sheetData>
    <row r="1" customFormat="false" ht="26.85" hidden="false" customHeight="false" outlineLevel="0" collapsed="false">
      <c r="A1" s="7" t="s">
        <v>141</v>
      </c>
      <c r="B1" s="7" t="s">
        <v>38</v>
      </c>
      <c r="C1" s="7" t="s">
        <v>79</v>
      </c>
      <c r="D1" s="7" t="s">
        <v>80</v>
      </c>
      <c r="E1" s="7" t="s">
        <v>81</v>
      </c>
      <c r="F1" s="7" t="s">
        <v>1</v>
      </c>
    </row>
    <row r="2" customFormat="false" ht="15" hidden="false" customHeight="false" outlineLevel="0" collapsed="false">
      <c r="A2" s="8" t="s">
        <v>142</v>
      </c>
      <c r="B2" s="8" t="s">
        <v>41</v>
      </c>
      <c r="C2" s="8" t="s">
        <v>143</v>
      </c>
      <c r="D2" s="8" t="s">
        <v>144</v>
      </c>
      <c r="E2" s="8" t="s">
        <v>145</v>
      </c>
      <c r="F2" s="8" t="s">
        <v>146</v>
      </c>
    </row>
    <row r="3" customFormat="false" ht="15" hidden="false" customHeight="false" outlineLevel="0" collapsed="false">
      <c r="A3" s="8" t="s">
        <v>147</v>
      </c>
      <c r="B3" s="8" t="s">
        <v>45</v>
      </c>
      <c r="C3" s="8" t="s">
        <v>148</v>
      </c>
      <c r="D3" s="8" t="s">
        <v>144</v>
      </c>
      <c r="E3" s="8" t="s">
        <v>149</v>
      </c>
      <c r="F3" s="8" t="s">
        <v>146</v>
      </c>
    </row>
    <row r="4" customFormat="false" ht="15" hidden="false" customHeight="false" outlineLevel="0" collapsed="false">
      <c r="A4" s="8" t="s">
        <v>150</v>
      </c>
      <c r="B4" s="8" t="s">
        <v>48</v>
      </c>
      <c r="C4" s="8" t="s">
        <v>151</v>
      </c>
      <c r="D4" s="8" t="s">
        <v>152</v>
      </c>
      <c r="E4" s="8" t="s">
        <v>153</v>
      </c>
      <c r="F4" s="8" t="s">
        <v>146</v>
      </c>
    </row>
    <row r="5" customFormat="false" ht="15" hidden="false" customHeight="false" outlineLevel="0" collapsed="false">
      <c r="A5" s="8" t="s">
        <v>154</v>
      </c>
      <c r="B5" s="8" t="s">
        <v>51</v>
      </c>
      <c r="C5" s="8" t="s">
        <v>155</v>
      </c>
      <c r="D5" s="8" t="s">
        <v>156</v>
      </c>
      <c r="E5" s="8" t="s">
        <v>157</v>
      </c>
      <c r="F5" s="8" t="s">
        <v>146</v>
      </c>
    </row>
    <row r="6" customFormat="false" ht="15" hidden="false" customHeight="false" outlineLevel="0" collapsed="false">
      <c r="A6" s="8" t="s">
        <v>158</v>
      </c>
      <c r="B6" s="8" t="s">
        <v>55</v>
      </c>
      <c r="C6" s="8" t="s">
        <v>159</v>
      </c>
      <c r="D6" s="8" t="s">
        <v>160</v>
      </c>
      <c r="E6" s="8" t="s">
        <v>161</v>
      </c>
      <c r="F6" s="8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7" t="s">
        <v>38</v>
      </c>
      <c r="B1" s="7" t="s">
        <v>27</v>
      </c>
      <c r="C1" s="7" t="s">
        <v>16</v>
      </c>
      <c r="D1" s="7" t="s">
        <v>162</v>
      </c>
      <c r="E1" s="7" t="s">
        <v>163</v>
      </c>
      <c r="F1" s="7" t="s">
        <v>164</v>
      </c>
    </row>
    <row r="2" customFormat="false" ht="15" hidden="false" customHeight="false" outlineLevel="0" collapsed="false">
      <c r="A2" s="8" t="s">
        <v>41</v>
      </c>
      <c r="B2" s="8" t="str">
        <f aca="false">IFERROR(INDEX(Requirements!$D:$D,MATCH(A2,Requirements!$A:$A,0)),"")</f>
        <v>OBJ-01</v>
      </c>
      <c r="C2" s="8" t="s">
        <v>61</v>
      </c>
      <c r="D2" s="8" t="s">
        <v>165</v>
      </c>
      <c r="E2" s="8" t="s">
        <v>142</v>
      </c>
      <c r="F2" s="8" t="n">
        <f aca="false">COUNTIF(UAT!$B:$B,A2)</f>
        <v>1</v>
      </c>
    </row>
    <row r="3" customFormat="false" ht="15" hidden="false" customHeight="false" outlineLevel="0" collapsed="false">
      <c r="A3" s="8" t="s">
        <v>45</v>
      </c>
      <c r="B3" s="8" t="str">
        <f aca="false">IFERROR(INDEX(Requirements!$D:$D,MATCH(A3,Requirements!$A:$A,0)),"")</f>
        <v>OBJ-02</v>
      </c>
      <c r="C3" s="8" t="s">
        <v>64</v>
      </c>
      <c r="D3" s="8" t="s">
        <v>165</v>
      </c>
      <c r="E3" s="8" t="s">
        <v>147</v>
      </c>
      <c r="F3" s="8" t="n">
        <f aca="false">COUNTIF(UAT!$B:$B,A3)</f>
        <v>1</v>
      </c>
    </row>
    <row r="4" customFormat="false" ht="15" hidden="false" customHeight="false" outlineLevel="0" collapsed="false">
      <c r="A4" s="8" t="s">
        <v>48</v>
      </c>
      <c r="B4" s="8" t="str">
        <f aca="false">IFERROR(INDEX(Requirements!$D:$D,MATCH(A4,Requirements!$A:$A,0)),"")</f>
        <v>OBJ-03</v>
      </c>
      <c r="C4" s="8" t="s">
        <v>67</v>
      </c>
      <c r="D4" s="8" t="s">
        <v>165</v>
      </c>
      <c r="E4" s="8" t="s">
        <v>150</v>
      </c>
      <c r="F4" s="8" t="n">
        <f aca="false">COUNTIF(UAT!$B:$B,A4)</f>
        <v>1</v>
      </c>
    </row>
    <row r="5" customFormat="false" ht="15" hidden="false" customHeight="false" outlineLevel="0" collapsed="false">
      <c r="A5" s="8" t="s">
        <v>51</v>
      </c>
      <c r="B5" s="8" t="str">
        <f aca="false">IFERROR(INDEX(Requirements!$D:$D,MATCH(A5,Requirements!$A:$A,0)),"")</f>
        <v>OBJ-01</v>
      </c>
      <c r="C5" s="8" t="s">
        <v>70</v>
      </c>
      <c r="D5" s="8" t="s">
        <v>165</v>
      </c>
      <c r="E5" s="8" t="s">
        <v>154</v>
      </c>
      <c r="F5" s="8" t="n">
        <f aca="false">COUNTIF(UAT!$B:$B,A5)</f>
        <v>1</v>
      </c>
    </row>
    <row r="6" customFormat="false" ht="15" hidden="false" customHeight="false" outlineLevel="0" collapsed="false">
      <c r="A6" s="8" t="s">
        <v>55</v>
      </c>
      <c r="B6" s="8" t="str">
        <f aca="false">IFERROR(INDEX(Requirements!$D:$D,MATCH(A6,Requirements!$A:$A,0)),"")</f>
        <v>OBJ-04</v>
      </c>
      <c r="C6" s="8" t="s">
        <v>73</v>
      </c>
      <c r="D6" s="8" t="s">
        <v>82</v>
      </c>
      <c r="E6" s="8" t="s">
        <v>158</v>
      </c>
      <c r="F6" s="8" t="n">
        <f aca="false">COUNTIF(UAT!$B:$B,A6)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7" t="s">
        <v>166</v>
      </c>
      <c r="B1" s="7" t="s">
        <v>167</v>
      </c>
      <c r="C1" s="7" t="s">
        <v>168</v>
      </c>
      <c r="D1" s="7" t="s">
        <v>169</v>
      </c>
    </row>
    <row r="2" customFormat="false" ht="15" hidden="false" customHeight="false" outlineLevel="0" collapsed="false">
      <c r="A2" s="8" t="s">
        <v>170</v>
      </c>
      <c r="B2" s="8" t="s">
        <v>171</v>
      </c>
      <c r="C2" s="8" t="s">
        <v>172</v>
      </c>
      <c r="D2" s="8" t="s">
        <v>173</v>
      </c>
    </row>
    <row r="3" customFormat="false" ht="15" hidden="false" customHeight="false" outlineLevel="0" collapsed="false">
      <c r="A3" s="8" t="s">
        <v>174</v>
      </c>
      <c r="B3" s="8" t="s">
        <v>175</v>
      </c>
      <c r="C3" s="8" t="s">
        <v>176</v>
      </c>
      <c r="D3" s="8" t="s">
        <v>177</v>
      </c>
    </row>
    <row r="4" customFormat="false" ht="15" hidden="false" customHeight="false" outlineLevel="0" collapsed="false">
      <c r="A4" s="8" t="s">
        <v>178</v>
      </c>
      <c r="B4" s="8" t="s">
        <v>171</v>
      </c>
      <c r="C4" s="8" t="s">
        <v>179</v>
      </c>
      <c r="D4" s="8" t="s">
        <v>180</v>
      </c>
    </row>
    <row r="5" customFormat="false" ht="15" hidden="false" customHeight="false" outlineLevel="0" collapsed="false">
      <c r="A5" s="8" t="s">
        <v>181</v>
      </c>
      <c r="B5" s="8" t="s">
        <v>182</v>
      </c>
      <c r="C5" s="8" t="s">
        <v>183</v>
      </c>
      <c r="D5" s="8" t="s">
        <v>184</v>
      </c>
    </row>
    <row r="6" customFormat="false" ht="15" hidden="false" customHeight="false" outlineLevel="0" collapsed="false">
      <c r="A6" s="8" t="s">
        <v>185</v>
      </c>
      <c r="B6" s="8" t="s">
        <v>175</v>
      </c>
      <c r="C6" s="8" t="s">
        <v>186</v>
      </c>
      <c r="D6" s="8" t="s">
        <v>187</v>
      </c>
    </row>
    <row r="7" customFormat="false" ht="15" hidden="false" customHeight="false" outlineLevel="0" collapsed="false">
      <c r="A7" s="8" t="s">
        <v>188</v>
      </c>
      <c r="B7" s="8" t="s">
        <v>175</v>
      </c>
      <c r="C7" s="8" t="s">
        <v>189</v>
      </c>
      <c r="D7" s="8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2026-09-25T01:59:53Z</dcterms:created>
  <dc:creator>openpyxl</dc:creator>
  <dc:description/>
  <dc:language>en-US</dc:language>
  <cp:lastModifiedBy/>
  <dcterms:modified xsi:type="dcterms:W3CDTF">2026-09-25T01:59:53Z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