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ser Stories" sheetId="5" state="visible" r:id="rId5"/>
    <sheet xmlns:r="http://schemas.openxmlformats.org/officeDocument/2006/relationships" name="Stakeholders" sheetId="6" state="visible" r:id="rId6"/>
    <sheet xmlns:r="http://schemas.openxmlformats.org/officeDocument/2006/relationships" name="RAID" sheetId="7" state="visible" r:id="rId7"/>
    <sheet xmlns:r="http://schemas.openxmlformats.org/officeDocument/2006/relationships" name="UAT" sheetId="8" state="visible" r:id="rId8"/>
    <sheet xmlns:r="http://schemas.openxmlformats.org/officeDocument/2006/relationships" name="Traceability" sheetId="9" state="visible" r:id="rId9"/>
    <sheet xmlns:r="http://schemas.openxmlformats.org/officeDocument/2006/relationships" name="Data Dictionary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5253D"/>
      <sz val="14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64748B"/>
      <sz val="11"/>
    </font>
  </fonts>
  <fills count="3">
    <fill>
      <patternFill/>
    </fill>
    <fill>
      <patternFill patternType="gray125"/>
    </fill>
    <fill>
      <patternFill patternType="solid">
        <fgColor rgb="FF15253D"/>
        <bgColor rgb="FF003366"/>
      </patternFill>
    </fill>
  </fills>
  <borders count="2">
    <border>
      <left/>
      <right/>
      <top/>
      <bottom/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80" customWidth="1" style="9" min="2" max="2"/>
    <col width="16" customWidth="1" style="9" min="3" max="3"/>
  </cols>
  <sheetData>
    <row r="1" ht="17.35" customHeight="1" s="10">
      <c r="A1" s="11" t="inlineStr">
        <is>
          <t>CONVVA African SME Commerce Platform</t>
        </is>
      </c>
    </row>
    <row r="2"/>
    <row r="3" ht="15" customHeight="1" s="10">
      <c r="A3" s="12" t="inlineStr">
        <is>
          <t>Status</t>
        </is>
      </c>
      <c r="B3" s="13" t="inlineStr">
        <is>
          <t>Concept / MVP design</t>
        </is>
      </c>
    </row>
    <row r="4" ht="15" customHeight="1" s="10">
      <c r="A4" s="12" t="inlineStr">
        <is>
          <t>Domain</t>
        </is>
      </c>
      <c r="B4" s="13" t="inlineStr">
        <is>
          <t>SME commerce and retail technology</t>
        </is>
      </c>
    </row>
    <row r="5" ht="15" customHeight="1" s="10">
      <c r="A5" s="12" t="inlineStr">
        <is>
          <t>Role</t>
        </is>
      </c>
      <c r="B5" s="13" t="inlineStr">
        <is>
          <t>Product Business Analyst</t>
        </is>
      </c>
    </row>
    <row r="6" ht="23.85" customHeight="1" s="10">
      <c r="A6" s="12" t="inlineStr">
        <is>
          <t>Business problem</t>
        </is>
      </c>
      <c r="B6" s="13" t="inlineStr">
        <is>
          <t>Small merchants manage products, stock and orders across social media, messaging and separate tools, creating duplication, overselling and weak fulfilment visibility.</t>
        </is>
      </c>
    </row>
    <row r="7"/>
    <row r="8"/>
    <row r="9" ht="15" customHeight="1" s="10">
      <c r="A9" s="14" t="inlineStr">
        <is>
          <t>Measure</t>
        </is>
      </c>
      <c r="B9" s="14" t="inlineStr">
        <is>
          <t>Value</t>
        </is>
      </c>
      <c r="C9" s="14" t="inlineStr">
        <is>
          <t>Source</t>
        </is>
      </c>
    </row>
    <row r="10" ht="15" customHeight="1" s="10">
      <c r="A10" s="15" t="inlineStr">
        <is>
          <t>Business requirements</t>
        </is>
      </c>
      <c r="B10" s="15">
        <f>COUNTA(Requirements!A2:A200)</f>
        <v/>
      </c>
      <c r="C10" s="15" t="inlineStr">
        <is>
          <t>Requirements</t>
        </is>
      </c>
    </row>
    <row r="11" ht="15" customHeight="1" s="10">
      <c r="A11" s="15" t="inlineStr">
        <is>
          <t>Must requirements</t>
        </is>
      </c>
      <c r="B11" s="15">
        <f>COUNTIF(Requirements!C2:C200,"Must")</f>
        <v/>
      </c>
      <c r="C11" s="15" t="inlineStr">
        <is>
          <t>Requirements</t>
        </is>
      </c>
    </row>
    <row r="12" ht="15" customHeight="1" s="10">
      <c r="A12" s="15" t="inlineStr">
        <is>
          <t>Should requirements</t>
        </is>
      </c>
      <c r="B12" s="15">
        <f>COUNTIF(Requirements!C2:C200,"Should")</f>
        <v/>
      </c>
      <c r="C12" s="15" t="inlineStr">
        <is>
          <t>Requirements</t>
        </is>
      </c>
    </row>
    <row r="13" ht="15" customHeight="1" s="10">
      <c r="A13" s="15" t="inlineStr">
        <is>
          <t>Functional requirements</t>
        </is>
      </c>
      <c r="B13" s="15">
        <f>COUNTA(Functional!A2:A200)</f>
        <v/>
      </c>
      <c r="C13" s="15" t="inlineStr">
        <is>
          <t>Functional</t>
        </is>
      </c>
    </row>
    <row r="14" ht="15" customHeight="1" s="10">
      <c r="A14" s="15" t="inlineStr">
        <is>
          <t>Requirements with a test</t>
        </is>
      </c>
      <c r="B14" s="15">
        <f>COUNTIF(Traceability!F2:F200,"&gt;0")</f>
        <v/>
      </c>
      <c r="C14" s="15" t="inlineStr">
        <is>
          <t>Traceability</t>
        </is>
      </c>
    </row>
    <row r="15" ht="15" customHeight="1" s="10">
      <c r="A15" s="15" t="inlineStr">
        <is>
          <t>Tests with status "Planned"</t>
        </is>
      </c>
      <c r="B15" s="15">
        <f>COUNTIF(UAT!F2:F200,"Planned")</f>
        <v/>
      </c>
      <c r="C15" s="15" t="inlineStr">
        <is>
          <t>UAT</t>
        </is>
      </c>
    </row>
    <row r="16" ht="15" customHeight="1" s="10">
      <c r="A16" s="15" t="inlineStr">
        <is>
          <t>High risks</t>
        </is>
      </c>
      <c r="B16" s="15">
        <f>COUNTIF(RAID!C2:C200,"High")</f>
        <v/>
      </c>
      <c r="C16" s="15" t="inlineStr">
        <is>
          <t>RAID</t>
        </is>
      </c>
    </row>
    <row r="17" ht="15" customHeight="1" s="10">
      <c r="A17" s="15" t="inlineStr">
        <is>
          <t>Stakeholder groups</t>
        </is>
      </c>
      <c r="B17" s="15">
        <f>COUNTA(Stakeholders!A2:A200)</f>
        <v/>
      </c>
      <c r="C17" s="15" t="inlineStr">
        <is>
          <t>Stakeholders</t>
        </is>
      </c>
    </row>
    <row r="18"/>
    <row r="19" ht="15" customHeight="1" s="10">
      <c r="A19" s="16" t="inlineStr">
        <is>
          <t>Counts are formulas and update when rows are added. Status values are recorded on the UAT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70" customWidth="1" style="9" min="2" max="2"/>
  </cols>
  <sheetData>
    <row r="1" ht="15" customHeight="1" s="10">
      <c r="A1" s="17" t="inlineStr">
        <is>
          <t>Objective ID</t>
        </is>
      </c>
      <c r="B1" s="17" t="inlineStr">
        <is>
          <t>Objective</t>
        </is>
      </c>
    </row>
    <row r="2" ht="15" customHeight="1" s="10">
      <c r="A2" s="18" t="inlineStr">
        <is>
          <t>OBJ-01</t>
        </is>
      </c>
      <c r="B2" s="18" t="inlineStr">
        <is>
          <t>Create one product and inventory source</t>
        </is>
      </c>
    </row>
    <row r="3" ht="15" customHeight="1" s="10">
      <c r="A3" s="18" t="inlineStr">
        <is>
          <t>OBJ-02</t>
        </is>
      </c>
      <c r="B3" s="18" t="inlineStr">
        <is>
          <t>Connect selected selling channels</t>
        </is>
      </c>
    </row>
    <row r="4" ht="15" customHeight="1" s="10">
      <c r="A4" s="18" t="inlineStr">
        <is>
          <t>OBJ-03</t>
        </is>
      </c>
      <c r="B4" s="18" t="inlineStr">
        <is>
          <t>Give every order a clear status</t>
        </is>
      </c>
    </row>
    <row r="5" ht="15" customHeight="1" s="10">
      <c r="A5" s="18" t="inlineStr">
        <is>
          <t>OBJ-04</t>
        </is>
      </c>
      <c r="B5" s="18" t="inlineStr">
        <is>
          <t>Make setup usable for SMEs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55" customWidth="1" style="9" min="2" max="2"/>
    <col width="10" customWidth="1" style="9" min="3" max="3"/>
    <col width="13" customWidth="1" style="9" min="4" max="4"/>
    <col width="40" customWidth="1" style="9" min="5" max="5"/>
    <col width="55" customWidth="1" style="9" min="6" max="6"/>
  </cols>
  <sheetData>
    <row r="1" ht="15" customHeight="1" s="10">
      <c r="A1" s="17" t="inlineStr">
        <is>
          <t>ID</t>
        </is>
      </c>
      <c r="B1" s="17" t="inlineStr">
        <is>
          <t>Requirement</t>
        </is>
      </c>
      <c r="C1" s="17" t="inlineStr">
        <is>
          <t>Priority</t>
        </is>
      </c>
      <c r="D1" s="17" t="inlineStr">
        <is>
          <t>Objective ID</t>
        </is>
      </c>
      <c r="E1" s="17" t="inlineStr">
        <is>
          <t>Objective</t>
        </is>
      </c>
      <c r="F1" s="17" t="inlineStr">
        <is>
          <t>Acceptance criterion</t>
        </is>
      </c>
    </row>
    <row r="2" ht="15" customHeight="1" s="10">
      <c r="A2" s="18" t="inlineStr">
        <is>
          <t>BR-01</t>
        </is>
      </c>
      <c r="B2" s="18" t="inlineStr">
        <is>
          <t>Maintain one product and inventory record</t>
        </is>
      </c>
      <c r="C2" s="18" t="inlineStr">
        <is>
          <t>Must</t>
        </is>
      </c>
      <c r="D2" s="18" t="inlineStr">
        <is>
          <t>OBJ-01</t>
        </is>
      </c>
      <c r="E2" s="18">
        <f>IFERROR(INDEX(Objectives!$B:$B,MATCH(D2,Objectives!$A:$A,0)),"Check objective ID")</f>
        <v/>
      </c>
      <c r="F2" s="18" t="inlineStr">
        <is>
          <t>All selected channels use the same source</t>
        </is>
      </c>
    </row>
    <row r="3" ht="15" customHeight="1" s="10">
      <c r="A3" s="18" t="inlineStr">
        <is>
          <t>BR-02</t>
        </is>
      </c>
      <c r="B3" s="18" t="inlineStr">
        <is>
          <t>Publish products to selected channels</t>
        </is>
      </c>
      <c r="C3" s="18" t="inlineStr">
        <is>
          <t>Must</t>
        </is>
      </c>
      <c r="D3" s="18" t="inlineStr">
        <is>
          <t>OBJ-02</t>
        </is>
      </c>
      <c r="E3" s="18">
        <f>IFERROR(INDEX(Objectives!$B:$B,MATCH(D3,Objectives!$A:$A,0)),"Check objective ID")</f>
        <v/>
      </c>
      <c r="F3" s="18" t="inlineStr">
        <is>
          <t>Changes appear on each selected channel</t>
        </is>
      </c>
    </row>
    <row r="4" ht="15" customHeight="1" s="10">
      <c r="A4" s="18" t="inlineStr">
        <is>
          <t>BR-03</t>
        </is>
      </c>
      <c r="B4" s="18" t="inlineStr">
        <is>
          <t>Prevent sale of unavailable stock</t>
        </is>
      </c>
      <c r="C4" s="18" t="inlineStr">
        <is>
          <t>Must</t>
        </is>
      </c>
      <c r="D4" s="18" t="inlineStr">
        <is>
          <t>OBJ-01</t>
        </is>
      </c>
      <c r="E4" s="18">
        <f>IFERROR(INDEX(Objectives!$B:$B,MATCH(D4,Objectives!$A:$A,0)),"Check objective ID")</f>
        <v/>
      </c>
      <c r="F4" s="18" t="inlineStr">
        <is>
          <t>Insufficient stock blocks or flags the order</t>
        </is>
      </c>
    </row>
    <row r="5" ht="15" customHeight="1" s="10">
      <c r="A5" s="18" t="inlineStr">
        <is>
          <t>BR-04</t>
        </is>
      </c>
      <c r="B5" s="18" t="inlineStr">
        <is>
          <t>Every order has status and a next action</t>
        </is>
      </c>
      <c r="C5" s="18" t="inlineStr">
        <is>
          <t>Must</t>
        </is>
      </c>
      <c r="D5" s="18" t="inlineStr">
        <is>
          <t>OBJ-03</t>
        </is>
      </c>
      <c r="E5" s="18">
        <f>IFERROR(INDEX(Objectives!$B:$B,MATCH(D5,Objectives!$A:$A,0)),"Check objective ID")</f>
        <v/>
      </c>
      <c r="F5" s="18" t="inlineStr">
        <is>
          <t>Merchant can identify the next step for each order</t>
        </is>
      </c>
    </row>
    <row r="6" ht="15" customHeight="1" s="10">
      <c r="A6" s="18" t="inlineStr">
        <is>
          <t>BR-05</t>
        </is>
      </c>
      <c r="B6" s="18" t="inlineStr">
        <is>
          <t>Guided setup for payment and delivery providers</t>
        </is>
      </c>
      <c r="C6" s="18" t="inlineStr">
        <is>
          <t>Must</t>
        </is>
      </c>
      <c r="D6" s="18" t="inlineStr">
        <is>
          <t>OBJ-04</t>
        </is>
      </c>
      <c r="E6" s="18">
        <f>IFERROR(INDEX(Objectives!$B:$B,MATCH(D6,Objectives!$A:$A,0)),"Check objective ID")</f>
        <v/>
      </c>
      <c r="F6" s="18" t="inlineStr">
        <is>
          <t>Merchant completes setup without support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11" customWidth="1" style="9" min="2" max="2"/>
    <col width="60" customWidth="1" style="9" min="3" max="3"/>
    <col width="55" customWidth="1" style="9" min="4" max="4"/>
  </cols>
  <sheetData>
    <row r="1" ht="1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System behaviour</t>
        </is>
      </c>
      <c r="D1" s="17" t="inlineStr">
        <is>
          <t>Business rule or validation</t>
        </is>
      </c>
    </row>
    <row r="2" ht="15" customHeight="1" s="10">
      <c r="A2" s="18" t="inlineStr">
        <is>
          <t>FR-01</t>
        </is>
      </c>
      <c r="B2" s="18" t="inlineStr">
        <is>
          <t>BR-01</t>
        </is>
      </c>
      <c r="C2" s="18" t="inlineStr">
        <is>
          <t>Product record holds variants, price and stock</t>
        </is>
      </c>
      <c r="D2" s="18" t="inlineStr">
        <is>
          <t>Stock cannot go below zero</t>
        </is>
      </c>
    </row>
    <row r="3" ht="15" customHeight="1" s="10">
      <c r="A3" s="18" t="inlineStr">
        <is>
          <t>FR-02</t>
        </is>
      </c>
      <c r="B3" s="18" t="inlineStr">
        <is>
          <t>BR-02</t>
        </is>
      </c>
      <c r="C3" s="18" t="inlineStr">
        <is>
          <t>Merchant selects channels per product</t>
        </is>
      </c>
      <c r="D3" s="18" t="inlineStr">
        <is>
          <t>Channel sync failure is shown on the product</t>
        </is>
      </c>
    </row>
    <row r="4" ht="15" customHeight="1" s="10">
      <c r="A4" s="18" t="inlineStr">
        <is>
          <t>FR-03</t>
        </is>
      </c>
      <c r="B4" s="18" t="inlineStr">
        <is>
          <t>BR-03</t>
        </is>
      </c>
      <c r="C4" s="18" t="inlineStr">
        <is>
          <t>Order reserves stock for 15 minutes pending payment</t>
        </is>
      </c>
      <c r="D4" s="18" t="inlineStr">
        <is>
          <t>Unpaid reservations release automatically</t>
        </is>
      </c>
    </row>
    <row r="5" ht="15" customHeight="1" s="10">
      <c r="A5" s="18" t="inlineStr">
        <is>
          <t>FR-04</t>
        </is>
      </c>
      <c r="B5" s="18" t="inlineStr">
        <is>
          <t>BR-04</t>
        </is>
      </c>
      <c r="C5" s="18" t="inlineStr">
        <is>
          <t>Order timeline shows payment, fulfilment and delivery states</t>
        </is>
      </c>
      <c r="D5" s="18" t="inlineStr">
        <is>
          <t>Next action displayed at the top of each order</t>
        </is>
      </c>
    </row>
    <row r="6" ht="15" customHeight="1" s="10">
      <c r="A6" s="18" t="inlineStr">
        <is>
          <t>FR-05</t>
        </is>
      </c>
      <c r="B6" s="18" t="inlineStr">
        <is>
          <t>BR-05</t>
        </is>
      </c>
      <c r="C6" s="18" t="inlineStr">
        <is>
          <t>Setup wizard lists providers available in the merchant country</t>
        </is>
      </c>
      <c r="D6" s="18" t="inlineStr">
        <is>
          <t>Test transaction required before go-live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10" customWidth="1" style="9" min="2" max="2"/>
    <col width="22" customWidth="1" style="9" min="3" max="3"/>
    <col width="35" customWidth="1" style="9" min="4" max="5"/>
    <col width="30" customWidth="1" style="9" min="6" max="6"/>
    <col width="28" customWidth="1" style="9" min="7" max="7"/>
    <col width="40" customWidth="1" style="9" min="8" max="8"/>
  </cols>
  <sheetData>
    <row r="1" ht="26.8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As a</t>
        </is>
      </c>
      <c r="D1" s="17" t="inlineStr">
        <is>
          <t>I want</t>
        </is>
      </c>
      <c r="E1" s="17" t="inlineStr">
        <is>
          <t>So that</t>
        </is>
      </c>
      <c r="F1" s="17" t="inlineStr">
        <is>
          <t>Given</t>
        </is>
      </c>
      <c r="G1" s="17" t="inlineStr">
        <is>
          <t>When</t>
        </is>
      </c>
      <c r="H1" s="17" t="inlineStr">
        <is>
          <t>Then</t>
        </is>
      </c>
    </row>
    <row r="2" ht="15" customHeight="1" s="10">
      <c r="A2" s="18" t="inlineStr">
        <is>
          <t>US-01</t>
        </is>
      </c>
      <c r="B2" s="18" t="inlineStr">
        <is>
          <t>BR-03</t>
        </is>
      </c>
      <c r="C2" s="18" t="inlineStr">
        <is>
          <t>merchant</t>
        </is>
      </c>
      <c r="D2" s="18" t="inlineStr">
        <is>
          <t>orders to reserve stock automatically</t>
        </is>
      </c>
      <c r="E2" s="18" t="inlineStr">
        <is>
          <t>I never sell what I do not have</t>
        </is>
      </c>
      <c r="F2" s="18" t="inlineStr">
        <is>
          <t>one item is left</t>
        </is>
      </c>
      <c r="G2" s="18" t="inlineStr">
        <is>
          <t>two customers order at once</t>
        </is>
      </c>
      <c r="H2" s="18" t="inlineStr">
        <is>
          <t>the second order is told the item is unavailable</t>
        </is>
      </c>
    </row>
    <row r="3" ht="15" customHeight="1" s="10">
      <c r="A3" s="18" t="inlineStr">
        <is>
          <t>US-02</t>
        </is>
      </c>
      <c r="B3" s="18" t="inlineStr">
        <is>
          <t>BR-04</t>
        </is>
      </c>
      <c r="C3" s="18" t="inlineStr">
        <is>
          <t>merchant</t>
        </is>
      </c>
      <c r="D3" s="18" t="inlineStr">
        <is>
          <t>one timeline for each order</t>
        </is>
      </c>
      <c r="E3" s="18" t="inlineStr">
        <is>
          <t>I know what to do next</t>
        </is>
      </c>
      <c r="F3" s="18" t="inlineStr">
        <is>
          <t>an order is paid</t>
        </is>
      </c>
      <c r="G3" s="18" t="inlineStr">
        <is>
          <t>I open it</t>
        </is>
      </c>
      <c r="H3" s="18" t="inlineStr">
        <is>
          <t>the next action, Accept fulfilment, is shown first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9" min="1" max="1"/>
    <col width="11" customWidth="1" style="9" min="2" max="2"/>
    <col width="10" customWidth="1" style="9" min="3" max="3"/>
    <col width="32" customWidth="1" style="9" min="4" max="6"/>
    <col width="22" customWidth="1" style="9" min="7" max="7"/>
    <col width="16" customWidth="1" style="9" min="8" max="8"/>
  </cols>
  <sheetData>
    <row r="1" ht="15" customHeight="1" s="10">
      <c r="A1" s="17" t="inlineStr">
        <is>
          <t>Stakeholder</t>
        </is>
      </c>
      <c r="B1" s="17" t="inlineStr">
        <is>
          <t>Influence</t>
        </is>
      </c>
      <c r="C1" s="17" t="inlineStr">
        <is>
          <t>Interest</t>
        </is>
      </c>
      <c r="D1" s="17" t="inlineStr">
        <is>
          <t>Primary interest</t>
        </is>
      </c>
      <c r="E1" s="17" t="inlineStr">
        <is>
          <t>Information need</t>
        </is>
      </c>
      <c r="F1" s="17" t="inlineStr">
        <is>
          <t>Method</t>
        </is>
      </c>
      <c r="G1" s="17" t="inlineStr">
        <is>
          <t>Cadence</t>
        </is>
      </c>
      <c r="H1" s="17" t="inlineStr">
        <is>
          <t>Approach</t>
        </is>
      </c>
    </row>
    <row r="2" ht="23.85" customHeight="1" s="10">
      <c r="A2" s="18" t="inlineStr">
        <is>
          <t>SME merchants</t>
        </is>
      </c>
      <c r="B2" s="18" t="inlineStr">
        <is>
          <t>Medium</t>
        </is>
      </c>
      <c r="C2" s="18" t="inlineStr">
        <is>
          <t>High</t>
        </is>
      </c>
      <c r="D2" s="18" t="inlineStr">
        <is>
          <t>Simple operations and sales</t>
        </is>
      </c>
      <c r="E2" s="18" t="inlineStr">
        <is>
          <t>Setup, orders, stock</t>
        </is>
      </c>
      <c r="F2" s="18" t="inlineStr">
        <is>
          <t>In-app guidance and WhatsApp support</t>
        </is>
      </c>
      <c r="G2" s="18" t="inlineStr">
        <is>
          <t>Ongoing</t>
        </is>
      </c>
      <c r="H2" s="18" t="inlineStr">
        <is>
          <t>Keep informed</t>
        </is>
      </c>
    </row>
    <row r="3" ht="15" customHeight="1" s="10">
      <c r="A3" s="18" t="inlineStr">
        <is>
          <t>Customers</t>
        </is>
      </c>
      <c r="B3" s="18" t="inlineStr">
        <is>
          <t>Low</t>
        </is>
      </c>
      <c r="C3" s="18" t="inlineStr">
        <is>
          <t>High</t>
        </is>
      </c>
      <c r="D3" s="18" t="inlineStr">
        <is>
          <t>Reliable ordering</t>
        </is>
      </c>
      <c r="E3" s="18" t="inlineStr">
        <is>
          <t>Order and delivery status</t>
        </is>
      </c>
      <c r="F3" s="18" t="inlineStr">
        <is>
          <t>Notifications</t>
        </is>
      </c>
      <c r="G3" s="18" t="inlineStr">
        <is>
          <t>At each status change</t>
        </is>
      </c>
      <c r="H3" s="18" t="inlineStr">
        <is>
          <t>Keep informed</t>
        </is>
      </c>
    </row>
    <row r="4" ht="15" customHeight="1" s="10">
      <c r="A4" s="18" t="inlineStr">
        <is>
          <t>Payment providers</t>
        </is>
      </c>
      <c r="B4" s="18" t="inlineStr">
        <is>
          <t>High</t>
        </is>
      </c>
      <c r="C4" s="18" t="inlineStr">
        <is>
          <t>Medium</t>
        </is>
      </c>
      <c r="D4" s="18" t="inlineStr">
        <is>
          <t>Transaction status</t>
        </is>
      </c>
      <c r="E4" s="18" t="inlineStr">
        <is>
          <t>API usage, volumes</t>
        </is>
      </c>
      <c r="F4" s="18" t="inlineStr">
        <is>
          <t>Partner review</t>
        </is>
      </c>
      <c r="G4" s="18" t="inlineStr">
        <is>
          <t>Quarterly</t>
        </is>
      </c>
      <c r="H4" s="18" t="inlineStr">
        <is>
          <t>Keep satisfied</t>
        </is>
      </c>
    </row>
    <row r="5" ht="15" customHeight="1" s="10">
      <c r="A5" s="18" t="inlineStr">
        <is>
          <t>Delivery providers</t>
        </is>
      </c>
      <c r="B5" s="18" t="inlineStr">
        <is>
          <t>Medium</t>
        </is>
      </c>
      <c r="C5" s="18" t="inlineStr">
        <is>
          <t>Medium</t>
        </is>
      </c>
      <c r="D5" s="18" t="inlineStr">
        <is>
          <t>Fulfilment data</t>
        </is>
      </c>
      <c r="E5" s="18" t="inlineStr">
        <is>
          <t>Pickup and delivery events</t>
        </is>
      </c>
      <c r="F5" s="18" t="inlineStr">
        <is>
          <t>Partner integration brief</t>
        </is>
      </c>
      <c r="G5" s="18" t="inlineStr">
        <is>
          <t>At onboarding</t>
        </is>
      </c>
      <c r="H5" s="18" t="inlineStr">
        <is>
          <t>Monitor</t>
        </is>
      </c>
    </row>
    <row r="6" ht="15" customHeight="1" s="10">
      <c r="A6" s="18" t="inlineStr">
        <is>
          <t>Platform admin</t>
        </is>
      </c>
      <c r="B6" s="18" t="inlineStr">
        <is>
          <t>High</t>
        </is>
      </c>
      <c r="C6" s="18" t="inlineStr">
        <is>
          <t>High</t>
        </is>
      </c>
      <c r="D6" s="18" t="inlineStr">
        <is>
          <t>Support and exception control</t>
        </is>
      </c>
      <c r="E6" s="18" t="inlineStr">
        <is>
          <t>Failed syncs, disputes</t>
        </is>
      </c>
      <c r="F6" s="18" t="inlineStr">
        <is>
          <t>Admin console</t>
        </is>
      </c>
      <c r="G6" s="18" t="inlineStr">
        <is>
          <t>Daily</t>
        </is>
      </c>
      <c r="H6" s="18" t="inlineStr">
        <is>
          <t>Manage closely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42" customWidth="1" style="9" min="2" max="2"/>
    <col width="10" customWidth="1" style="9" min="3" max="3"/>
    <col width="42" customWidth="1" style="9" min="4" max="4"/>
    <col width="22" customWidth="1" style="9" min="5" max="5"/>
  </cols>
  <sheetData>
    <row r="1" ht="15" customHeight="1" s="10">
      <c r="A1" s="17" t="inlineStr">
        <is>
          <t>ID</t>
        </is>
      </c>
      <c r="B1" s="17" t="inlineStr">
        <is>
          <t>Risk</t>
        </is>
      </c>
      <c r="C1" s="17" t="inlineStr">
        <is>
          <t>Severity</t>
        </is>
      </c>
      <c r="D1" s="17" t="inlineStr">
        <is>
          <t>Response</t>
        </is>
      </c>
      <c r="E1" s="17" t="inlineStr">
        <is>
          <t>Owner</t>
        </is>
      </c>
    </row>
    <row r="2" ht="15" customHeight="1" s="10">
      <c r="A2" s="18" t="inlineStr">
        <is>
          <t>R-01</t>
        </is>
      </c>
      <c r="B2" s="18" t="inlineStr">
        <is>
          <t>Channel stock becomes inconsistent</t>
        </is>
      </c>
      <c r="C2" s="18" t="inlineStr">
        <is>
          <t>High</t>
        </is>
      </c>
      <c r="D2" s="18" t="inlineStr">
        <is>
          <t>Single inventory source and sync alerts</t>
        </is>
      </c>
      <c r="E2" s="18" t="inlineStr">
        <is>
          <t>Product owner</t>
        </is>
      </c>
    </row>
    <row r="3" ht="15" customHeight="1" s="10">
      <c r="A3" s="18" t="inlineStr">
        <is>
          <t>R-02</t>
        </is>
      </c>
      <c r="B3" s="18" t="inlineStr">
        <is>
          <t>Failed payment appears complete</t>
        </is>
      </c>
      <c r="C3" s="18" t="inlineStr">
        <is>
          <t>High</t>
        </is>
      </c>
      <c r="D3" s="18" t="inlineStr">
        <is>
          <t>Confirmed payment states only</t>
        </is>
      </c>
      <c r="E3" s="18" t="inlineStr">
        <is>
          <t>Engineering lead</t>
        </is>
      </c>
    </row>
    <row r="4" ht="15" customHeight="1" s="10">
      <c r="A4" s="18" t="inlineStr">
        <is>
          <t>R-03</t>
        </is>
      </c>
      <c r="B4" s="18" t="inlineStr">
        <is>
          <t>Setup is too complex for merchants</t>
        </is>
      </c>
      <c r="C4" s="18" t="inlineStr">
        <is>
          <t>Medium</t>
        </is>
      </c>
      <c r="D4" s="18" t="inlineStr">
        <is>
          <t>Guided wizard and usability tests</t>
        </is>
      </c>
      <c r="E4" s="18" t="inlineStr">
        <is>
          <t>Business analyst</t>
        </is>
      </c>
    </row>
    <row r="5" ht="15" customHeight="1" s="10">
      <c r="A5" s="18" t="inlineStr">
        <is>
          <t>R-04</t>
        </is>
      </c>
      <c r="B5" s="18" t="inlineStr">
        <is>
          <t>Provider outage blocks fulfilment</t>
        </is>
      </c>
      <c r="C5" s="18" t="inlineStr">
        <is>
          <t>Medium</t>
        </is>
      </c>
      <c r="D5" s="18" t="inlineStr">
        <is>
          <t>Exception queue and fallback provider</t>
        </is>
      </c>
      <c r="E5" s="18" t="inlineStr">
        <is>
          <t>Operations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2" customWidth="1" style="9" min="2" max="2"/>
    <col width="36" customWidth="1" style="9" min="3" max="3"/>
    <col width="34" customWidth="1" style="9" min="4" max="4"/>
    <col width="44" customWidth="1" style="9" min="5" max="5"/>
    <col width="26" customWidth="1" style="9" min="6" max="6"/>
  </cols>
  <sheetData>
    <row r="1" ht="26.85" customHeight="1" s="10">
      <c r="A1" s="17" t="inlineStr">
        <is>
          <t>Test ID</t>
        </is>
      </c>
      <c r="B1" s="17" t="inlineStr">
        <is>
          <t>Requirement</t>
        </is>
      </c>
      <c r="C1" s="17" t="inlineStr">
        <is>
          <t>Given</t>
        </is>
      </c>
      <c r="D1" s="17" t="inlineStr">
        <is>
          <t>When</t>
        </is>
      </c>
      <c r="E1" s="17" t="inlineStr">
        <is>
          <t>Then</t>
        </is>
      </c>
      <c r="F1" s="17" t="inlineStr">
        <is>
          <t>Status</t>
        </is>
      </c>
    </row>
    <row r="2" ht="15" customHeight="1" s="10">
      <c r="A2" s="18" t="inlineStr">
        <is>
          <t>UAT-01</t>
        </is>
      </c>
      <c r="B2" s="18" t="inlineStr">
        <is>
          <t>BR-01</t>
        </is>
      </c>
      <c r="C2" s="18" t="inlineStr">
        <is>
          <t>stock changed in the catalogue</t>
        </is>
      </c>
      <c r="D2" s="18" t="inlineStr">
        <is>
          <t>channels are checked</t>
        </is>
      </c>
      <c r="E2" s="18" t="inlineStr">
        <is>
          <t>all show the new quantity</t>
        </is>
      </c>
      <c r="F2" s="18" t="inlineStr">
        <is>
          <t>Planned</t>
        </is>
      </c>
    </row>
    <row r="3" ht="15" customHeight="1" s="10">
      <c r="A3" s="18" t="inlineStr">
        <is>
          <t>UAT-02</t>
        </is>
      </c>
      <c r="B3" s="18" t="inlineStr">
        <is>
          <t>BR-02</t>
        </is>
      </c>
      <c r="C3" s="18" t="inlineStr">
        <is>
          <t>a channel sync fails</t>
        </is>
      </c>
      <c r="D3" s="18" t="inlineStr">
        <is>
          <t>the merchant opens the product</t>
        </is>
      </c>
      <c r="E3" s="18" t="inlineStr">
        <is>
          <t>the failure and retry option show</t>
        </is>
      </c>
      <c r="F3" s="18" t="inlineStr">
        <is>
          <t>Planned</t>
        </is>
      </c>
    </row>
    <row r="4" ht="15" customHeight="1" s="10">
      <c r="A4" s="18" t="inlineStr">
        <is>
          <t>UAT-03</t>
        </is>
      </c>
      <c r="B4" s="18" t="inlineStr">
        <is>
          <t>BR-03</t>
        </is>
      </c>
      <c r="C4" s="18" t="inlineStr">
        <is>
          <t>one item left and two orders</t>
        </is>
      </c>
      <c r="D4" s="18" t="inlineStr">
        <is>
          <t>both are placed together</t>
        </is>
      </c>
      <c r="E4" s="18" t="inlineStr">
        <is>
          <t>only one reserves stock</t>
        </is>
      </c>
      <c r="F4" s="18" t="inlineStr">
        <is>
          <t>Planned</t>
        </is>
      </c>
    </row>
    <row r="5" ht="15" customHeight="1" s="10">
      <c r="A5" s="18" t="inlineStr">
        <is>
          <t>UAT-04</t>
        </is>
      </c>
      <c r="B5" s="18" t="inlineStr">
        <is>
          <t>BR-04</t>
        </is>
      </c>
      <c r="C5" s="18" t="inlineStr">
        <is>
          <t>a paid order</t>
        </is>
      </c>
      <c r="D5" s="18" t="inlineStr">
        <is>
          <t>the merchant opens it</t>
        </is>
      </c>
      <c r="E5" s="18" t="inlineStr">
        <is>
          <t>next action and timeline show</t>
        </is>
      </c>
      <c r="F5" s="18" t="inlineStr">
        <is>
          <t>Planned</t>
        </is>
      </c>
    </row>
    <row r="6" ht="15" customHeight="1" s="10">
      <c r="A6" s="18" t="inlineStr">
        <is>
          <t>UAT-05</t>
        </is>
      </c>
      <c r="B6" s="18" t="inlineStr">
        <is>
          <t>BR-05</t>
        </is>
      </c>
      <c r="C6" s="18" t="inlineStr">
        <is>
          <t>a new merchant</t>
        </is>
      </c>
      <c r="D6" s="18" t="inlineStr">
        <is>
          <t>they complete the wizard</t>
        </is>
      </c>
      <c r="E6" s="18" t="inlineStr">
        <is>
          <t>a test transaction succeeds without support</t>
        </is>
      </c>
      <c r="F6" s="18" t="inlineStr">
        <is>
          <t>Planned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9" min="1" max="2"/>
    <col width="26" customWidth="1" style="9" min="3" max="3"/>
    <col width="16" customWidth="1" style="9" min="4" max="4"/>
    <col width="22" customWidth="1" style="9" min="5" max="5"/>
    <col width="16" customWidth="1" style="9" min="6" max="6"/>
  </cols>
  <sheetData>
    <row r="1" ht="26.85" customHeight="1" s="10">
      <c r="A1" s="17" t="inlineStr">
        <is>
          <t>Requirement</t>
        </is>
      </c>
      <c r="B1" s="17" t="inlineStr">
        <is>
          <t>Objective ID</t>
        </is>
      </c>
      <c r="C1" s="17" t="inlineStr">
        <is>
          <t>Functional requirements</t>
        </is>
      </c>
      <c r="D1" s="17" t="inlineStr">
        <is>
          <t>User stories</t>
        </is>
      </c>
      <c r="E1" s="17" t="inlineStr">
        <is>
          <t>Test IDs</t>
        </is>
      </c>
      <c r="F1" s="17" t="inlineStr">
        <is>
          <t>Number of tests</t>
        </is>
      </c>
    </row>
    <row r="2" ht="15" customHeight="1" s="10">
      <c r="A2" s="18" t="inlineStr">
        <is>
          <t>BR-01</t>
        </is>
      </c>
      <c r="B2" s="18">
        <f>IFERROR(INDEX(Requirements!$D:$D,MATCH(A2,Requirements!$A:$A,0)),"")</f>
        <v/>
      </c>
      <c r="C2" s="18" t="inlineStr">
        <is>
          <t>FR-01</t>
        </is>
      </c>
      <c r="D2" s="18" t="inlineStr">
        <is>
          <t>None</t>
        </is>
      </c>
      <c r="E2" s="18" t="inlineStr">
        <is>
          <t>UAT-01</t>
        </is>
      </c>
      <c r="F2" s="18">
        <f>COUNTIF(UAT!$B:$B,A2)</f>
        <v/>
      </c>
    </row>
    <row r="3" ht="15" customHeight="1" s="10">
      <c r="A3" s="18" t="inlineStr">
        <is>
          <t>BR-02</t>
        </is>
      </c>
      <c r="B3" s="18">
        <f>IFERROR(INDEX(Requirements!$D:$D,MATCH(A3,Requirements!$A:$A,0)),"")</f>
        <v/>
      </c>
      <c r="C3" s="18" t="inlineStr">
        <is>
          <t>FR-02</t>
        </is>
      </c>
      <c r="D3" s="18" t="inlineStr">
        <is>
          <t>None</t>
        </is>
      </c>
      <c r="E3" s="18" t="inlineStr">
        <is>
          <t>UAT-02</t>
        </is>
      </c>
      <c r="F3" s="18">
        <f>COUNTIF(UAT!$B:$B,A3)</f>
        <v/>
      </c>
    </row>
    <row r="4" ht="15" customHeight="1" s="10">
      <c r="A4" s="18" t="inlineStr">
        <is>
          <t>BR-03</t>
        </is>
      </c>
      <c r="B4" s="18">
        <f>IFERROR(INDEX(Requirements!$D:$D,MATCH(A4,Requirements!$A:$A,0)),"")</f>
        <v/>
      </c>
      <c r="C4" s="18" t="inlineStr">
        <is>
          <t>FR-03</t>
        </is>
      </c>
      <c r="D4" s="18" t="inlineStr">
        <is>
          <t>US-01</t>
        </is>
      </c>
      <c r="E4" s="18" t="inlineStr">
        <is>
          <t>UAT-03</t>
        </is>
      </c>
      <c r="F4" s="18">
        <f>COUNTIF(UAT!$B:$B,A4)</f>
        <v/>
      </c>
    </row>
    <row r="5" ht="15" customHeight="1" s="10">
      <c r="A5" s="18" t="inlineStr">
        <is>
          <t>BR-04</t>
        </is>
      </c>
      <c r="B5" s="18">
        <f>IFERROR(INDEX(Requirements!$D:$D,MATCH(A5,Requirements!$A:$A,0)),"")</f>
        <v/>
      </c>
      <c r="C5" s="18" t="inlineStr">
        <is>
          <t>FR-04</t>
        </is>
      </c>
      <c r="D5" s="18" t="inlineStr">
        <is>
          <t>US-02</t>
        </is>
      </c>
      <c r="E5" s="18" t="inlineStr">
        <is>
          <t>UAT-04</t>
        </is>
      </c>
      <c r="F5" s="18">
        <f>COUNTIF(UAT!$B:$B,A5)</f>
        <v/>
      </c>
    </row>
    <row r="6" ht="15" customHeight="1" s="10">
      <c r="A6" s="18" t="inlineStr">
        <is>
          <t>BR-05</t>
        </is>
      </c>
      <c r="B6" s="18">
        <f>IFERROR(INDEX(Requirements!$D:$D,MATCH(A6,Requirements!$A:$A,0)),"")</f>
        <v/>
      </c>
      <c r="C6" s="18" t="inlineStr">
        <is>
          <t>FR-05</t>
        </is>
      </c>
      <c r="D6" s="18" t="inlineStr">
        <is>
          <t>None</t>
        </is>
      </c>
      <c r="E6" s="18" t="inlineStr">
        <is>
          <t>UAT-05</t>
        </is>
      </c>
      <c r="F6" s="18">
        <f>COUNTIF(UAT!$B:$B,A6)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12" customWidth="1" style="9" min="2" max="2"/>
    <col width="38" customWidth="1" style="9" min="3" max="3"/>
    <col width="45" customWidth="1" style="9" min="4" max="4"/>
  </cols>
  <sheetData>
    <row r="1" ht="15" customHeight="1" s="10">
      <c r="A1" s="17" t="inlineStr">
        <is>
          <t>Field</t>
        </is>
      </c>
      <c r="B1" s="17" t="inlineStr">
        <is>
          <t>Type</t>
        </is>
      </c>
      <c r="C1" s="17" t="inlineStr">
        <is>
          <t>Definition</t>
        </is>
      </c>
      <c r="D1" s="17" t="inlineStr">
        <is>
          <t>Allowed values</t>
        </is>
      </c>
    </row>
    <row r="2" ht="15" customHeight="1" s="10">
      <c r="A2" s="18" t="inlineStr">
        <is>
          <t>merchant_id</t>
        </is>
      </c>
      <c r="B2" s="18" t="inlineStr">
        <is>
          <t>Text</t>
        </is>
      </c>
      <c r="C2" s="18" t="inlineStr">
        <is>
          <t>Unique merchant</t>
        </is>
      </c>
      <c r="D2" s="18" t="inlineStr">
        <is>
          <t>MER-0001 format</t>
        </is>
      </c>
    </row>
    <row r="3" ht="15" customHeight="1" s="10">
      <c r="A3" s="18" t="inlineStr">
        <is>
          <t>product_id</t>
        </is>
      </c>
      <c r="B3" s="18" t="inlineStr">
        <is>
          <t>Text</t>
        </is>
      </c>
      <c r="C3" s="18" t="inlineStr">
        <is>
          <t>Unique product</t>
        </is>
      </c>
      <c r="D3" s="18" t="inlineStr">
        <is>
          <t>PRD-0001 format</t>
        </is>
      </c>
    </row>
    <row r="4" ht="15" customHeight="1" s="10">
      <c r="A4" s="18" t="inlineStr">
        <is>
          <t>channel</t>
        </is>
      </c>
      <c r="B4" s="18" t="inlineStr">
        <is>
          <t>Category</t>
        </is>
      </c>
      <c r="C4" s="18" t="inlineStr">
        <is>
          <t>Sales channel</t>
        </is>
      </c>
      <c r="D4" s="18" t="inlineStr">
        <is>
          <t>Storefront, Instagram, WhatsApp, Facebook</t>
        </is>
      </c>
    </row>
    <row r="5" ht="15" customHeight="1" s="10">
      <c r="A5" s="18" t="inlineStr">
        <is>
          <t>available_stock</t>
        </is>
      </c>
      <c r="B5" s="18" t="inlineStr">
        <is>
          <t>Integer</t>
        </is>
      </c>
      <c r="C5" s="18" t="inlineStr">
        <is>
          <t>Sellable quantity</t>
        </is>
      </c>
      <c r="D5" s="18" t="inlineStr">
        <is>
          <t>0 or more</t>
        </is>
      </c>
    </row>
    <row r="6" ht="23.85" customHeight="1" s="10">
      <c r="A6" s="18" t="inlineStr">
        <is>
          <t>order_status</t>
        </is>
      </c>
      <c r="B6" s="18" t="inlineStr">
        <is>
          <t>Category</t>
        </is>
      </c>
      <c r="C6" s="18" t="inlineStr">
        <is>
          <t>Order state</t>
        </is>
      </c>
      <c r="D6" s="18" t="inlineStr">
        <is>
          <t>Placed, Reserved, Paid, In fulfilment, Delivered, Cancelled</t>
        </is>
      </c>
    </row>
    <row r="7" ht="15" customHeight="1" s="10">
      <c r="A7" s="18" t="inlineStr">
        <is>
          <t>delivery_status</t>
        </is>
      </c>
      <c r="B7" s="18" t="inlineStr">
        <is>
          <t>Category</t>
        </is>
      </c>
      <c r="C7" s="18" t="inlineStr">
        <is>
          <t>Fulfilment state</t>
        </is>
      </c>
      <c r="D7" s="18" t="inlineStr">
        <is>
          <t>Awaiting pickup, In transit, Delivered, Failed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2026-09-25T01:59:53Z</dcterms:created>
  <dcterms:modified xmlns:dcterms="http://purl.org/dc/terms/" xmlns:xsi="http://www.w3.org/2001/XMLSchema-instance" xsi:type="dcterms:W3CDTF">2026-09-25T04:24:47Z</dcterms:modified>
  <cp:revision>0</cp:revision>
</cp:coreProperties>
</file>