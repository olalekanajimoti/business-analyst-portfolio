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bjective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Functional" sheetId="4" state="visible" r:id="rId4"/>
    <sheet xmlns:r="http://schemas.openxmlformats.org/officeDocument/2006/relationships" name="User Stories" sheetId="5" state="visible" r:id="rId5"/>
    <sheet xmlns:r="http://schemas.openxmlformats.org/officeDocument/2006/relationships" name="Stakeholders" sheetId="6" state="visible" r:id="rId6"/>
    <sheet xmlns:r="http://schemas.openxmlformats.org/officeDocument/2006/relationships" name="RAID" sheetId="7" state="visible" r:id="rId7"/>
    <sheet xmlns:r="http://schemas.openxmlformats.org/officeDocument/2006/relationships" name="UAT" sheetId="8" state="visible" r:id="rId8"/>
    <sheet xmlns:r="http://schemas.openxmlformats.org/officeDocument/2006/relationships" name="Traceability" sheetId="9" state="visible" r:id="rId9"/>
    <sheet xmlns:r="http://schemas.openxmlformats.org/officeDocument/2006/relationships" name="Data Dictionary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5253D"/>
      <sz val="14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64748B"/>
      <sz val="11"/>
    </font>
  </fonts>
  <fills count="3">
    <fill>
      <patternFill/>
    </fill>
    <fill>
      <patternFill patternType="gray125"/>
    </fill>
    <fill>
      <patternFill patternType="solid">
        <fgColor rgb="FF15253D"/>
        <bgColor rgb="FF003366"/>
      </patternFill>
    </fill>
  </fills>
  <borders count="2">
    <border>
      <left/>
      <right/>
      <top/>
      <bottom/>
      <diagonal/>
    </border>
    <border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525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9" min="1" max="1"/>
    <col width="80" customWidth="1" style="9" min="2" max="2"/>
    <col width="16" customWidth="1" style="9" min="3" max="3"/>
  </cols>
  <sheetData>
    <row r="1" ht="17.35" customHeight="1" s="10">
      <c r="A1" s="11" t="inlineStr">
        <is>
          <t>IndulgeTix Event Ticketing Platform</t>
        </is>
      </c>
    </row>
    <row r="2"/>
    <row r="3" ht="15" customHeight="1" s="10">
      <c r="A3" s="12" t="inlineStr">
        <is>
          <t>Status</t>
        </is>
      </c>
      <c r="B3" s="13" t="inlineStr">
        <is>
          <t>Product development</t>
        </is>
      </c>
    </row>
    <row r="4" ht="15" customHeight="1" s="10">
      <c r="A4" s="12" t="inlineStr">
        <is>
          <t>Domain</t>
        </is>
      </c>
      <c r="B4" s="13" t="inlineStr">
        <is>
          <t>Event technology and payments</t>
        </is>
      </c>
    </row>
    <row r="5" ht="15" customHeight="1" s="10">
      <c r="A5" s="12" t="inlineStr">
        <is>
          <t>Role</t>
        </is>
      </c>
      <c r="B5" s="13" t="inlineStr">
        <is>
          <t>Product Business Analyst</t>
        </is>
      </c>
    </row>
    <row r="6" ht="23.85" customHeight="1" s="10">
      <c r="A6" s="12" t="inlineStr">
        <is>
          <t>Business problem</t>
        </is>
      </c>
      <c r="B6" s="13" t="inlineStr">
        <is>
          <t>Organisers need connected event setup, ticket ownership, scanning and settlement, while attendees need reliable purchase, transfer and refund journeys.</t>
        </is>
      </c>
    </row>
    <row r="7"/>
    <row r="8"/>
    <row r="9" ht="15" customHeight="1" s="10">
      <c r="A9" s="14" t="inlineStr">
        <is>
          <t>Measure</t>
        </is>
      </c>
      <c r="B9" s="14" t="inlineStr">
        <is>
          <t>Value</t>
        </is>
      </c>
      <c r="C9" s="14" t="inlineStr">
        <is>
          <t>Source</t>
        </is>
      </c>
    </row>
    <row r="10" ht="15" customHeight="1" s="10">
      <c r="A10" s="15" t="inlineStr">
        <is>
          <t>Business requirements</t>
        </is>
      </c>
      <c r="B10" s="15">
        <f>COUNTA(Requirements!A2:A200)</f>
        <v/>
      </c>
      <c r="C10" s="15" t="inlineStr">
        <is>
          <t>Requirements</t>
        </is>
      </c>
    </row>
    <row r="11" ht="15" customHeight="1" s="10">
      <c r="A11" s="15" t="inlineStr">
        <is>
          <t>Must requirements</t>
        </is>
      </c>
      <c r="B11" s="15">
        <f>COUNTIF(Requirements!C2:C200,"Must")</f>
        <v/>
      </c>
      <c r="C11" s="15" t="inlineStr">
        <is>
          <t>Requirements</t>
        </is>
      </c>
    </row>
    <row r="12" ht="15" customHeight="1" s="10">
      <c r="A12" s="15" t="inlineStr">
        <is>
          <t>Should requirements</t>
        </is>
      </c>
      <c r="B12" s="15">
        <f>COUNTIF(Requirements!C2:C200,"Should")</f>
        <v/>
      </c>
      <c r="C12" s="15" t="inlineStr">
        <is>
          <t>Requirements</t>
        </is>
      </c>
    </row>
    <row r="13" ht="15" customHeight="1" s="10">
      <c r="A13" s="15" t="inlineStr">
        <is>
          <t>Functional requirements</t>
        </is>
      </c>
      <c r="B13" s="15">
        <f>COUNTA(Functional!A2:A200)</f>
        <v/>
      </c>
      <c r="C13" s="15" t="inlineStr">
        <is>
          <t>Functional</t>
        </is>
      </c>
    </row>
    <row r="14" ht="15" customHeight="1" s="10">
      <c r="A14" s="15" t="inlineStr">
        <is>
          <t>Requirements with a test</t>
        </is>
      </c>
      <c r="B14" s="15">
        <f>COUNTIF(Traceability!F2:F200,"&gt;0")</f>
        <v/>
      </c>
      <c r="C14" s="15" t="inlineStr">
        <is>
          <t>Traceability</t>
        </is>
      </c>
    </row>
    <row r="15" ht="15" customHeight="1" s="10">
      <c r="A15" s="15" t="inlineStr">
        <is>
          <t>Tests with status "Planned"</t>
        </is>
      </c>
      <c r="B15" s="15">
        <f>COUNTIF(UAT!F2:F200,"Planned")</f>
        <v/>
      </c>
      <c r="C15" s="15" t="inlineStr">
        <is>
          <t>UAT</t>
        </is>
      </c>
    </row>
    <row r="16" ht="15" customHeight="1" s="10">
      <c r="A16" s="15" t="inlineStr">
        <is>
          <t>High risks</t>
        </is>
      </c>
      <c r="B16" s="15">
        <f>COUNTIF(RAID!C2:C200,"High")</f>
        <v/>
      </c>
      <c r="C16" s="15" t="inlineStr">
        <is>
          <t>RAID</t>
        </is>
      </c>
    </row>
    <row r="17" ht="15" customHeight="1" s="10">
      <c r="A17" s="15" t="inlineStr">
        <is>
          <t>Stakeholder groups</t>
        </is>
      </c>
      <c r="B17" s="15">
        <f>COUNTA(Stakeholders!A2:A200)</f>
        <v/>
      </c>
      <c r="C17" s="15" t="inlineStr">
        <is>
          <t>Stakeholders</t>
        </is>
      </c>
    </row>
    <row r="18"/>
    <row r="19" ht="15" customHeight="1" s="10">
      <c r="A19" s="16" t="inlineStr">
        <is>
          <t>Counts are formulas and update when rows are added. Status values are recorded on the UAT sheet.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70" customWidth="1" style="9" min="2" max="2"/>
  </cols>
  <sheetData>
    <row r="1" ht="15" customHeight="1" s="10">
      <c r="A1" s="17" t="inlineStr">
        <is>
          <t>Objective ID</t>
        </is>
      </c>
      <c r="B1" s="17" t="inlineStr">
        <is>
          <t>Objective</t>
        </is>
      </c>
    </row>
    <row r="2" ht="15" customHeight="1" s="10">
      <c r="A2" s="18" t="inlineStr">
        <is>
          <t>OBJ-01</t>
        </is>
      </c>
      <c r="B2" s="18" t="inlineStr">
        <is>
          <t>Support organisers to configure and publish events</t>
        </is>
      </c>
    </row>
    <row r="3" ht="15" customHeight="1" s="10">
      <c r="A3" s="18" t="inlineStr">
        <is>
          <t>OBJ-02</t>
        </is>
      </c>
      <c r="B3" s="18" t="inlineStr">
        <is>
          <t>Control the ticket lifecycle and ownership</t>
        </is>
      </c>
    </row>
    <row r="4" ht="15" customHeight="1" s="10">
      <c r="A4" s="18" t="inlineStr">
        <is>
          <t>OBJ-03</t>
        </is>
      </c>
      <c r="B4" s="18" t="inlineStr">
        <is>
          <t>Prevent invalid entry at the door</t>
        </is>
      </c>
    </row>
    <row r="5" ht="15" customHeight="1" s="10">
      <c r="A5" s="18" t="inlineStr">
        <is>
          <t>OBJ-04</t>
        </is>
      </c>
      <c r="B5" s="18" t="inlineStr">
        <is>
          <t>Keep money movements reconcilable and auditable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55" customWidth="1" style="9" min="2" max="2"/>
    <col width="10" customWidth="1" style="9" min="3" max="3"/>
    <col width="13" customWidth="1" style="9" min="4" max="4"/>
    <col width="40" customWidth="1" style="9" min="5" max="5"/>
    <col width="55" customWidth="1" style="9" min="6" max="6"/>
  </cols>
  <sheetData>
    <row r="1" ht="15" customHeight="1" s="10">
      <c r="A1" s="17" t="inlineStr">
        <is>
          <t>ID</t>
        </is>
      </c>
      <c r="B1" s="17" t="inlineStr">
        <is>
          <t>Requirement</t>
        </is>
      </c>
      <c r="C1" s="17" t="inlineStr">
        <is>
          <t>Priority</t>
        </is>
      </c>
      <c r="D1" s="17" t="inlineStr">
        <is>
          <t>Objective ID</t>
        </is>
      </c>
      <c r="E1" s="17" t="inlineStr">
        <is>
          <t>Objective</t>
        </is>
      </c>
      <c r="F1" s="17" t="inlineStr">
        <is>
          <t>Acceptance criterion</t>
        </is>
      </c>
    </row>
    <row r="2" ht="23.85" customHeight="1" s="10">
      <c r="A2" s="18" t="inlineStr">
        <is>
          <t>BR-01</t>
        </is>
      </c>
      <c r="B2" s="18" t="inlineStr">
        <is>
          <t>Organisers can create single, recurring and multi-day events</t>
        </is>
      </c>
      <c r="C2" s="18" t="inlineStr">
        <is>
          <t>Must</t>
        </is>
      </c>
      <c r="D2" s="18" t="inlineStr">
        <is>
          <t>OBJ-01</t>
        </is>
      </c>
      <c r="E2" s="18">
        <f>IFERROR(INDEX(Objectives!$B:$B,MATCH(D2,Objectives!$A:$A,0)),"Check objective ID")</f>
        <v/>
      </c>
      <c r="F2" s="18" t="inlineStr">
        <is>
          <t>Each event type validates its required settings</t>
        </is>
      </c>
    </row>
    <row r="3" ht="15" customHeight="1" s="10">
      <c r="A3" s="18" t="inlineStr">
        <is>
          <t>BR-02</t>
        </is>
      </c>
      <c r="B3" s="18" t="inlineStr">
        <is>
          <t>Each issued ticket has exactly one valid owner state</t>
        </is>
      </c>
      <c r="C3" s="18" t="inlineStr">
        <is>
          <t>Must</t>
        </is>
      </c>
      <c r="D3" s="18" t="inlineStr">
        <is>
          <t>OBJ-02</t>
        </is>
      </c>
      <c r="E3" s="18">
        <f>IFERROR(INDEX(Objectives!$B:$B,MATCH(D3,Objectives!$A:$A,0)),"Check objective ID")</f>
        <v/>
      </c>
      <c r="F3" s="18" t="inlineStr">
        <is>
          <t>Ownership history is retained for every change</t>
        </is>
      </c>
    </row>
    <row r="4" ht="15" customHeight="1" s="10">
      <c r="A4" s="18" t="inlineStr">
        <is>
          <t>BR-03</t>
        </is>
      </c>
      <c r="B4" s="18" t="inlineStr">
        <is>
          <t>Transfer and refund rules are enforced</t>
        </is>
      </c>
      <c r="C4" s="18" t="inlineStr">
        <is>
          <t>Must</t>
        </is>
      </c>
      <c r="D4" s="18" t="inlineStr">
        <is>
          <t>OBJ-02</t>
        </is>
      </c>
      <c r="E4" s="18">
        <f>IFERROR(INDEX(Objectives!$B:$B,MATCH(D4,Objectives!$A:$A,0)),"Check objective ID")</f>
        <v/>
      </c>
      <c r="F4" s="18" t="inlineStr">
        <is>
          <t>Invalid state transitions are rejected with a reason</t>
        </is>
      </c>
    </row>
    <row r="5" ht="15" customHeight="1" s="10">
      <c r="A5" s="18" t="inlineStr">
        <is>
          <t>BR-04</t>
        </is>
      </c>
      <c r="B5" s="18" t="inlineStr">
        <is>
          <t>Scanning prevents duplicate or invalid entry</t>
        </is>
      </c>
      <c r="C5" s="18" t="inlineStr">
        <is>
          <t>Must</t>
        </is>
      </c>
      <c r="D5" s="18" t="inlineStr">
        <is>
          <t>OBJ-03</t>
        </is>
      </c>
      <c r="E5" s="18">
        <f>IFERROR(INDEX(Objectives!$B:$B,MATCH(D5,Objectives!$A:$A,0)),"Check objective ID")</f>
        <v/>
      </c>
      <c r="F5" s="18" t="inlineStr">
        <is>
          <t>A second scan of the same ticket is rejected and flagged</t>
        </is>
      </c>
    </row>
    <row r="6" ht="23.85" customHeight="1" s="10">
      <c r="A6" s="18" t="inlineStr">
        <is>
          <t>BR-05</t>
        </is>
      </c>
      <c r="B6" s="18" t="inlineStr">
        <is>
          <t>Settlement reconciles tickets, fees and refunds before payout</t>
        </is>
      </c>
      <c r="C6" s="18" t="inlineStr">
        <is>
          <t>Must</t>
        </is>
      </c>
      <c r="D6" s="18" t="inlineStr">
        <is>
          <t>OBJ-04</t>
        </is>
      </c>
      <c r="E6" s="18">
        <f>IFERROR(INDEX(Objectives!$B:$B,MATCH(D6,Objectives!$A:$A,0)),"Check objective ID")</f>
        <v/>
      </c>
      <c r="F6" s="18" t="inlineStr">
        <is>
          <t>Variance is shown before payout is released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11" customWidth="1" style="9" min="2" max="2"/>
    <col width="60" customWidth="1" style="9" min="3" max="3"/>
    <col width="55" customWidth="1" style="9" min="4" max="4"/>
  </cols>
  <sheetData>
    <row r="1" ht="15" customHeight="1" s="10">
      <c r="A1" s="17" t="inlineStr">
        <is>
          <t>ID</t>
        </is>
      </c>
      <c r="B1" s="17" t="inlineStr">
        <is>
          <t>Parent BR</t>
        </is>
      </c>
      <c r="C1" s="17" t="inlineStr">
        <is>
          <t>System behaviour</t>
        </is>
      </c>
      <c r="D1" s="17" t="inlineStr">
        <is>
          <t>Business rule or validation</t>
        </is>
      </c>
    </row>
    <row r="2" ht="15" customHeight="1" s="10">
      <c r="A2" s="18" t="inlineStr">
        <is>
          <t>FR-01</t>
        </is>
      </c>
      <c r="B2" s="18" t="inlineStr">
        <is>
          <t>BR-01</t>
        </is>
      </c>
      <c r="C2" s="18" t="inlineStr">
        <is>
          <t>Event wizard captures type, dates, capacity and ticket tiers</t>
        </is>
      </c>
      <c r="D2" s="18" t="inlineStr">
        <is>
          <t>Recurring events require an end date or occurrence count</t>
        </is>
      </c>
    </row>
    <row r="3" ht="15" customHeight="1" s="10">
      <c r="A3" s="18" t="inlineStr">
        <is>
          <t>FR-02</t>
        </is>
      </c>
      <c r="B3" s="18" t="inlineStr">
        <is>
          <t>BR-02</t>
        </is>
      </c>
      <c r="C3" s="18" t="inlineStr">
        <is>
          <t>Ticket record holds owner, state and state history</t>
        </is>
      </c>
      <c r="D3" s="18" t="inlineStr">
        <is>
          <t>States: Reserved, Issued, Transferred, Refunded, Scanned, Void</t>
        </is>
      </c>
    </row>
    <row r="4" ht="15" customHeight="1" s="10">
      <c r="A4" s="18" t="inlineStr">
        <is>
          <t>FR-03</t>
        </is>
      </c>
      <c r="B4" s="18" t="inlineStr">
        <is>
          <t>BR-03</t>
        </is>
      </c>
      <c r="C4" s="18" t="inlineStr">
        <is>
          <t>Transfer requires recipient acceptance before ownership moves</t>
        </is>
      </c>
      <c r="D4" s="18" t="inlineStr">
        <is>
          <t>Scanned or refunded tickets cannot be transferred</t>
        </is>
      </c>
    </row>
    <row r="5" ht="15" customHeight="1" s="10">
      <c r="A5" s="18" t="inlineStr">
        <is>
          <t>FR-04</t>
        </is>
      </c>
      <c r="B5" s="18" t="inlineStr">
        <is>
          <t>BR-03</t>
        </is>
      </c>
      <c r="C5" s="18" t="inlineStr">
        <is>
          <t>Refund eligibility checks organiser policy and event date</t>
        </is>
      </c>
      <c r="D5" s="18" t="inlineStr">
        <is>
          <t>Refund voids the ticket before money is returned</t>
        </is>
      </c>
    </row>
    <row r="6" ht="23.85" customHeight="1" s="10">
      <c r="A6" s="18" t="inlineStr">
        <is>
          <t>FR-05</t>
        </is>
      </c>
      <c r="B6" s="18" t="inlineStr">
        <is>
          <t>BR-04</t>
        </is>
      </c>
      <c r="C6" s="18" t="inlineStr">
        <is>
          <t>Scanner validates ticket state in real time</t>
        </is>
      </c>
      <c r="D6" s="18" t="inlineStr">
        <is>
          <t>Valid scan moves ticket to Scanned; repeat scan shows first-scan time</t>
        </is>
      </c>
    </row>
    <row r="7" ht="15" customHeight="1" s="10">
      <c r="A7" s="18" t="inlineStr">
        <is>
          <t>FR-06</t>
        </is>
      </c>
      <c r="B7" s="18" t="inlineStr">
        <is>
          <t>BR-05</t>
        </is>
      </c>
      <c r="C7" s="18" t="inlineStr">
        <is>
          <t>Settlement report totals sales, fees, refunds and chargebacks per event</t>
        </is>
      </c>
      <c r="D7" s="18" t="inlineStr">
        <is>
          <t>Payout blocked while variance is not zero or explained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10" customWidth="1" style="9" min="2" max="2"/>
    <col width="22" customWidth="1" style="9" min="3" max="3"/>
    <col width="35" customWidth="1" style="9" min="4" max="5"/>
    <col width="30" customWidth="1" style="9" min="6" max="6"/>
    <col width="28" customWidth="1" style="9" min="7" max="7"/>
    <col width="40" customWidth="1" style="9" min="8" max="8"/>
  </cols>
  <sheetData>
    <row r="1" ht="26.85" customHeight="1" s="10">
      <c r="A1" s="17" t="inlineStr">
        <is>
          <t>ID</t>
        </is>
      </c>
      <c r="B1" s="17" t="inlineStr">
        <is>
          <t>Parent BR</t>
        </is>
      </c>
      <c r="C1" s="17" t="inlineStr">
        <is>
          <t>As a</t>
        </is>
      </c>
      <c r="D1" s="17" t="inlineStr">
        <is>
          <t>I want</t>
        </is>
      </c>
      <c r="E1" s="17" t="inlineStr">
        <is>
          <t>So that</t>
        </is>
      </c>
      <c r="F1" s="17" t="inlineStr">
        <is>
          <t>Given</t>
        </is>
      </c>
      <c r="G1" s="17" t="inlineStr">
        <is>
          <t>When</t>
        </is>
      </c>
      <c r="H1" s="17" t="inlineStr">
        <is>
          <t>Then</t>
        </is>
      </c>
    </row>
    <row r="2" ht="23.85" customHeight="1" s="10">
      <c r="A2" s="18" t="inlineStr">
        <is>
          <t>US-01</t>
        </is>
      </c>
      <c r="B2" s="18" t="inlineStr">
        <is>
          <t>BR-03</t>
        </is>
      </c>
      <c r="C2" s="18" t="inlineStr">
        <is>
          <t>attendee</t>
        </is>
      </c>
      <c r="D2" s="18" t="inlineStr">
        <is>
          <t>to transfer my ticket to a friend</t>
        </is>
      </c>
      <c r="E2" s="18" t="inlineStr">
        <is>
          <t>they can attend in my place</t>
        </is>
      </c>
      <c r="F2" s="18" t="inlineStr">
        <is>
          <t>I own an Issued ticket</t>
        </is>
      </c>
      <c r="G2" s="18" t="inlineStr">
        <is>
          <t>my friend accepts the transfer</t>
        </is>
      </c>
      <c r="H2" s="18" t="inlineStr">
        <is>
          <t>the ticket shows my friend as owner and my copy is void</t>
        </is>
      </c>
    </row>
    <row r="3" ht="23.85" customHeight="1" s="10">
      <c r="A3" s="18" t="inlineStr">
        <is>
          <t>US-02</t>
        </is>
      </c>
      <c r="B3" s="18" t="inlineStr">
        <is>
          <t>BR-04</t>
        </is>
      </c>
      <c r="C3" s="18" t="inlineStr">
        <is>
          <t>door staff member</t>
        </is>
      </c>
      <c r="D3" s="18" t="inlineStr">
        <is>
          <t>a clear result when I scan</t>
        </is>
      </c>
      <c r="E3" s="18" t="inlineStr">
        <is>
          <t>I admit only valid tickets quickly</t>
        </is>
      </c>
      <c r="F3" s="18" t="inlineStr">
        <is>
          <t>a ticket was already scanned</t>
        </is>
      </c>
      <c r="G3" s="18" t="inlineStr">
        <is>
          <t>I scan it again</t>
        </is>
      </c>
      <c r="H3" s="18" t="inlineStr">
        <is>
          <t>the scanner shows Rejected with the first-scan time</t>
        </is>
      </c>
    </row>
    <row r="4" ht="23.85" customHeight="1" s="10">
      <c r="A4" s="18" t="inlineStr">
        <is>
          <t>US-03</t>
        </is>
      </c>
      <c r="B4" s="18" t="inlineStr">
        <is>
          <t>BR-05</t>
        </is>
      </c>
      <c r="C4" s="18" t="inlineStr">
        <is>
          <t>organiser</t>
        </is>
      </c>
      <c r="D4" s="18" t="inlineStr">
        <is>
          <t>to see reconciled totals before payout</t>
        </is>
      </c>
      <c r="E4" s="18" t="inlineStr">
        <is>
          <t>I trust what I am paid</t>
        </is>
      </c>
      <c r="F4" s="18" t="inlineStr">
        <is>
          <t>my event has ended</t>
        </is>
      </c>
      <c r="G4" s="18" t="inlineStr">
        <is>
          <t>I open settlement</t>
        </is>
      </c>
      <c r="H4" s="18" t="inlineStr">
        <is>
          <t>sales, fees, refunds and variance are shown before I confirm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9" min="1" max="1"/>
    <col width="11" customWidth="1" style="9" min="2" max="2"/>
    <col width="10" customWidth="1" style="9" min="3" max="3"/>
    <col width="32" customWidth="1" style="9" min="4" max="6"/>
    <col width="22" customWidth="1" style="9" min="7" max="7"/>
    <col width="16" customWidth="1" style="9" min="8" max="8"/>
  </cols>
  <sheetData>
    <row r="1" ht="15" customHeight="1" s="10">
      <c r="A1" s="17" t="inlineStr">
        <is>
          <t>Stakeholder</t>
        </is>
      </c>
      <c r="B1" s="17" t="inlineStr">
        <is>
          <t>Influence</t>
        </is>
      </c>
      <c r="C1" s="17" t="inlineStr">
        <is>
          <t>Interest</t>
        </is>
      </c>
      <c r="D1" s="17" t="inlineStr">
        <is>
          <t>Primary interest</t>
        </is>
      </c>
      <c r="E1" s="17" t="inlineStr">
        <is>
          <t>Information need</t>
        </is>
      </c>
      <c r="F1" s="17" t="inlineStr">
        <is>
          <t>Method</t>
        </is>
      </c>
      <c r="G1" s="17" t="inlineStr">
        <is>
          <t>Cadence</t>
        </is>
      </c>
      <c r="H1" s="17" t="inlineStr">
        <is>
          <t>Approach</t>
        </is>
      </c>
    </row>
    <row r="2" ht="15" customHeight="1" s="10">
      <c r="A2" s="18" t="inlineStr">
        <is>
          <t>Attendees</t>
        </is>
      </c>
      <c r="B2" s="18" t="inlineStr">
        <is>
          <t>Low</t>
        </is>
      </c>
      <c r="C2" s="18" t="inlineStr">
        <is>
          <t>High</t>
        </is>
      </c>
      <c r="D2" s="18" t="inlineStr">
        <is>
          <t>Reliable purchase and access</t>
        </is>
      </c>
      <c r="E2" s="18" t="inlineStr">
        <is>
          <t>Ticket, transfer, refund status</t>
        </is>
      </c>
      <c r="F2" s="18" t="inlineStr">
        <is>
          <t>In-app notifications</t>
        </is>
      </c>
      <c r="G2" s="18" t="inlineStr">
        <is>
          <t>At each ticket event</t>
        </is>
      </c>
      <c r="H2" s="18" t="inlineStr">
        <is>
          <t>Keep informed</t>
        </is>
      </c>
    </row>
    <row r="3" ht="15" customHeight="1" s="10">
      <c r="A3" s="18" t="inlineStr">
        <is>
          <t>Organisers</t>
        </is>
      </c>
      <c r="B3" s="18" t="inlineStr">
        <is>
          <t>High</t>
        </is>
      </c>
      <c r="C3" s="18" t="inlineStr">
        <is>
          <t>High</t>
        </is>
      </c>
      <c r="D3" s="18" t="inlineStr">
        <is>
          <t>Control, sales and payout</t>
        </is>
      </c>
      <c r="E3" s="18" t="inlineStr">
        <is>
          <t>Sales, capacity, settlement</t>
        </is>
      </c>
      <c r="F3" s="18" t="inlineStr">
        <is>
          <t>Dashboard and settlement report</t>
        </is>
      </c>
      <c r="G3" s="18" t="inlineStr">
        <is>
          <t>Live and after event</t>
        </is>
      </c>
      <c r="H3" s="18" t="inlineStr">
        <is>
          <t>Manage closely</t>
        </is>
      </c>
    </row>
    <row r="4" ht="15" customHeight="1" s="10">
      <c r="A4" s="18" t="inlineStr">
        <is>
          <t>Door staff</t>
        </is>
      </c>
      <c r="B4" s="18" t="inlineStr">
        <is>
          <t>Low</t>
        </is>
      </c>
      <c r="C4" s="18" t="inlineStr">
        <is>
          <t>High</t>
        </is>
      </c>
      <c r="D4" s="18" t="inlineStr">
        <is>
          <t>Fast valid scanning</t>
        </is>
      </c>
      <c r="E4" s="18" t="inlineStr">
        <is>
          <t>Scan results, exceptions</t>
        </is>
      </c>
      <c r="F4" s="18" t="inlineStr">
        <is>
          <t>Scanner app briefing</t>
        </is>
      </c>
      <c r="G4" s="18" t="inlineStr">
        <is>
          <t>Before each event</t>
        </is>
      </c>
      <c r="H4" s="18" t="inlineStr">
        <is>
          <t>Keep informed</t>
        </is>
      </c>
    </row>
    <row r="5" ht="15" customHeight="1" s="10">
      <c r="A5" s="18" t="inlineStr">
        <is>
          <t>Finance and compliance</t>
        </is>
      </c>
      <c r="B5" s="18" t="inlineStr">
        <is>
          <t>High</t>
        </is>
      </c>
      <c r="C5" s="18" t="inlineStr">
        <is>
          <t>Medium</t>
        </is>
      </c>
      <c r="D5" s="18" t="inlineStr">
        <is>
          <t>Audit and settlement</t>
        </is>
      </c>
      <c r="E5" s="18" t="inlineStr">
        <is>
          <t>Reconciliation, variance</t>
        </is>
      </c>
      <c r="F5" s="18" t="inlineStr">
        <is>
          <t>Settlement review</t>
        </is>
      </c>
      <c r="G5" s="18" t="inlineStr">
        <is>
          <t>Per payout</t>
        </is>
      </c>
      <c r="H5" s="18" t="inlineStr">
        <is>
          <t>Keep satisfied</t>
        </is>
      </c>
    </row>
    <row r="6" ht="15" customHeight="1" s="10">
      <c r="A6" s="18" t="inlineStr">
        <is>
          <t>Affiliate resellers</t>
        </is>
      </c>
      <c r="B6" s="18" t="inlineStr">
        <is>
          <t>Medium</t>
        </is>
      </c>
      <c r="C6" s="18" t="inlineStr">
        <is>
          <t>Medium</t>
        </is>
      </c>
      <c r="D6" s="18" t="inlineStr">
        <is>
          <t>Attribution and commission</t>
        </is>
      </c>
      <c r="E6" s="18" t="inlineStr">
        <is>
          <t>Sales by code</t>
        </is>
      </c>
      <c r="F6" s="18" t="inlineStr">
        <is>
          <t>Affiliate statement</t>
        </is>
      </c>
      <c r="G6" s="18" t="inlineStr">
        <is>
          <t>Weekly</t>
        </is>
      </c>
      <c r="H6" s="18" t="inlineStr">
        <is>
          <t>Monitor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42" customWidth="1" style="9" min="2" max="2"/>
    <col width="10" customWidth="1" style="9" min="3" max="3"/>
    <col width="42" customWidth="1" style="9" min="4" max="4"/>
    <col width="22" customWidth="1" style="9" min="5" max="5"/>
  </cols>
  <sheetData>
    <row r="1" ht="15" customHeight="1" s="10">
      <c r="A1" s="17" t="inlineStr">
        <is>
          <t>ID</t>
        </is>
      </c>
      <c r="B1" s="17" t="inlineStr">
        <is>
          <t>Risk</t>
        </is>
      </c>
      <c r="C1" s="17" t="inlineStr">
        <is>
          <t>Severity</t>
        </is>
      </c>
      <c r="D1" s="17" t="inlineStr">
        <is>
          <t>Response</t>
        </is>
      </c>
      <c r="E1" s="17" t="inlineStr">
        <is>
          <t>Owner</t>
        </is>
      </c>
    </row>
    <row r="2" ht="15" customHeight="1" s="10">
      <c r="A2" s="18" t="inlineStr">
        <is>
          <t>R-01</t>
        </is>
      </c>
      <c r="B2" s="18" t="inlineStr">
        <is>
          <t>Duplicate ticket ownership</t>
        </is>
      </c>
      <c r="C2" s="18" t="inlineStr">
        <is>
          <t>High</t>
        </is>
      </c>
      <c r="D2" s="18" t="inlineStr">
        <is>
          <t>State model and audit log</t>
        </is>
      </c>
      <c r="E2" s="18" t="inlineStr">
        <is>
          <t>Product owner</t>
        </is>
      </c>
    </row>
    <row r="3" ht="15" customHeight="1" s="10">
      <c r="A3" s="18" t="inlineStr">
        <is>
          <t>R-02</t>
        </is>
      </c>
      <c r="B3" s="18" t="inlineStr">
        <is>
          <t>Duplicate entry</t>
        </is>
      </c>
      <c r="C3" s="18" t="inlineStr">
        <is>
          <t>High</t>
        </is>
      </c>
      <c r="D3" s="18" t="inlineStr">
        <is>
          <t>Real-time scan validation</t>
        </is>
      </c>
      <c r="E3" s="18" t="inlineStr">
        <is>
          <t>Product owner</t>
        </is>
      </c>
    </row>
    <row r="4" ht="15" customHeight="1" s="10">
      <c r="A4" s="18" t="inlineStr">
        <is>
          <t>R-03</t>
        </is>
      </c>
      <c r="B4" s="18" t="inlineStr">
        <is>
          <t>Settlement variance</t>
        </is>
      </c>
      <c r="C4" s="18" t="inlineStr">
        <is>
          <t>High</t>
        </is>
      </c>
      <c r="D4" s="18" t="inlineStr">
        <is>
          <t>Pre-payout reconciliation</t>
        </is>
      </c>
      <c r="E4" s="18" t="inlineStr">
        <is>
          <t>Finance lead</t>
        </is>
      </c>
    </row>
    <row r="5" ht="15" customHeight="1" s="10">
      <c r="A5" s="18" t="inlineStr">
        <is>
          <t>R-04</t>
        </is>
      </c>
      <c r="B5" s="18" t="inlineStr">
        <is>
          <t>Refund or transfer abuse</t>
        </is>
      </c>
      <c r="C5" s="18" t="inlineStr">
        <is>
          <t>High</t>
        </is>
      </c>
      <c r="D5" s="18" t="inlineStr">
        <is>
          <t>Eligibility and permission rules</t>
        </is>
      </c>
      <c r="E5" s="18" t="inlineStr">
        <is>
          <t>Product owner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2" customWidth="1" style="9" min="2" max="2"/>
    <col width="36" customWidth="1" style="9" min="3" max="3"/>
    <col width="34" customWidth="1" style="9" min="4" max="4"/>
    <col width="44" customWidth="1" style="9" min="5" max="5"/>
    <col width="26" customWidth="1" style="9" min="6" max="6"/>
  </cols>
  <sheetData>
    <row r="1" ht="26.85" customHeight="1" s="10">
      <c r="A1" s="17" t="inlineStr">
        <is>
          <t>Test ID</t>
        </is>
      </c>
      <c r="B1" s="17" t="inlineStr">
        <is>
          <t>Requirement</t>
        </is>
      </c>
      <c r="C1" s="17" t="inlineStr">
        <is>
          <t>Given</t>
        </is>
      </c>
      <c r="D1" s="17" t="inlineStr">
        <is>
          <t>When</t>
        </is>
      </c>
      <c r="E1" s="17" t="inlineStr">
        <is>
          <t>Then</t>
        </is>
      </c>
      <c r="F1" s="17" t="inlineStr">
        <is>
          <t>Status</t>
        </is>
      </c>
    </row>
    <row r="2" ht="15" customHeight="1" s="10">
      <c r="A2" s="18" t="inlineStr">
        <is>
          <t>UAT-01</t>
        </is>
      </c>
      <c r="B2" s="18" t="inlineStr">
        <is>
          <t>BR-01</t>
        </is>
      </c>
      <c r="C2" s="18" t="inlineStr">
        <is>
          <t>an organiser creates a recurring event</t>
        </is>
      </c>
      <c r="D2" s="18" t="inlineStr">
        <is>
          <t>no end date or count is given</t>
        </is>
      </c>
      <c r="E2" s="18" t="inlineStr">
        <is>
          <t>publish is blocked with a message</t>
        </is>
      </c>
      <c r="F2" s="18" t="inlineStr">
        <is>
          <t>Planned</t>
        </is>
      </c>
    </row>
    <row r="3" ht="15" customHeight="1" s="10">
      <c r="A3" s="18" t="inlineStr">
        <is>
          <t>UAT-02</t>
        </is>
      </c>
      <c r="B3" s="18" t="inlineStr">
        <is>
          <t>BR-02</t>
        </is>
      </c>
      <c r="C3" s="18" t="inlineStr">
        <is>
          <t>a ticket is transferred twice</t>
        </is>
      </c>
      <c r="D3" s="18" t="inlineStr">
        <is>
          <t>history is opened</t>
        </is>
      </c>
      <c r="E3" s="18" t="inlineStr">
        <is>
          <t>three owners appear in order with timestamps</t>
        </is>
      </c>
      <c r="F3" s="18" t="inlineStr">
        <is>
          <t>Planned</t>
        </is>
      </c>
    </row>
    <row r="4" ht="15" customHeight="1" s="10">
      <c r="A4" s="18" t="inlineStr">
        <is>
          <t>UAT-03</t>
        </is>
      </c>
      <c r="B4" s="18" t="inlineStr">
        <is>
          <t>BR-03</t>
        </is>
      </c>
      <c r="C4" s="18" t="inlineStr">
        <is>
          <t>a Scanned ticket</t>
        </is>
      </c>
      <c r="D4" s="18" t="inlineStr">
        <is>
          <t>the owner requests a transfer</t>
        </is>
      </c>
      <c r="E4" s="18" t="inlineStr">
        <is>
          <t>the request is rejected with a reason</t>
        </is>
      </c>
      <c r="F4" s="18" t="inlineStr">
        <is>
          <t>Planned</t>
        </is>
      </c>
    </row>
    <row r="5" ht="15" customHeight="1" s="10">
      <c r="A5" s="18" t="inlineStr">
        <is>
          <t>UAT-04</t>
        </is>
      </c>
      <c r="B5" s="18" t="inlineStr">
        <is>
          <t>BR-04</t>
        </is>
      </c>
      <c r="C5" s="18" t="inlineStr">
        <is>
          <t>a ticket already scanned</t>
        </is>
      </c>
      <c r="D5" s="18" t="inlineStr">
        <is>
          <t>it is scanned again</t>
        </is>
      </c>
      <c r="E5" s="18" t="inlineStr">
        <is>
          <t>Rejected shows with the first-scan time</t>
        </is>
      </c>
      <c r="F5" s="18" t="inlineStr">
        <is>
          <t>Planned</t>
        </is>
      </c>
    </row>
    <row r="6" ht="15" customHeight="1" s="10">
      <c r="A6" s="18" t="inlineStr">
        <is>
          <t>UAT-05</t>
        </is>
      </c>
      <c r="B6" s="18" t="inlineStr">
        <is>
          <t>BR-05</t>
        </is>
      </c>
      <c r="C6" s="18" t="inlineStr">
        <is>
          <t>an event with one unmatched refund</t>
        </is>
      </c>
      <c r="D6" s="18" t="inlineStr">
        <is>
          <t>the organiser opens settlement</t>
        </is>
      </c>
      <c r="E6" s="18" t="inlineStr">
        <is>
          <t>variance shows and payout is blocked</t>
        </is>
      </c>
      <c r="F6" s="18" t="inlineStr">
        <is>
          <t>Planned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9" min="1" max="2"/>
    <col width="26" customWidth="1" style="9" min="3" max="3"/>
    <col width="16" customWidth="1" style="9" min="4" max="4"/>
    <col width="22" customWidth="1" style="9" min="5" max="5"/>
    <col width="16" customWidth="1" style="9" min="6" max="6"/>
  </cols>
  <sheetData>
    <row r="1" ht="26.85" customHeight="1" s="10">
      <c r="A1" s="17" t="inlineStr">
        <is>
          <t>Requirement</t>
        </is>
      </c>
      <c r="B1" s="17" t="inlineStr">
        <is>
          <t>Objective ID</t>
        </is>
      </c>
      <c r="C1" s="17" t="inlineStr">
        <is>
          <t>Functional requirements</t>
        </is>
      </c>
      <c r="D1" s="17" t="inlineStr">
        <is>
          <t>User stories</t>
        </is>
      </c>
      <c r="E1" s="17" t="inlineStr">
        <is>
          <t>Test IDs</t>
        </is>
      </c>
      <c r="F1" s="17" t="inlineStr">
        <is>
          <t>Number of tests</t>
        </is>
      </c>
    </row>
    <row r="2" ht="15" customHeight="1" s="10">
      <c r="A2" s="18" t="inlineStr">
        <is>
          <t>BR-01</t>
        </is>
      </c>
      <c r="B2" s="18">
        <f>IFERROR(INDEX(Requirements!$D:$D,MATCH(A2,Requirements!$A:$A,0)),"")</f>
        <v/>
      </c>
      <c r="C2" s="18" t="inlineStr">
        <is>
          <t>FR-01</t>
        </is>
      </c>
      <c r="D2" s="18" t="inlineStr">
        <is>
          <t>None</t>
        </is>
      </c>
      <c r="E2" s="18" t="inlineStr">
        <is>
          <t>UAT-01</t>
        </is>
      </c>
      <c r="F2" s="18">
        <f>COUNTIF(UAT!$B:$B,A2)</f>
        <v/>
      </c>
    </row>
    <row r="3" ht="15" customHeight="1" s="10">
      <c r="A3" s="18" t="inlineStr">
        <is>
          <t>BR-02</t>
        </is>
      </c>
      <c r="B3" s="18">
        <f>IFERROR(INDEX(Requirements!$D:$D,MATCH(A3,Requirements!$A:$A,0)),"")</f>
        <v/>
      </c>
      <c r="C3" s="18" t="inlineStr">
        <is>
          <t>FR-02</t>
        </is>
      </c>
      <c r="D3" s="18" t="inlineStr">
        <is>
          <t>None</t>
        </is>
      </c>
      <c r="E3" s="18" t="inlineStr">
        <is>
          <t>UAT-02</t>
        </is>
      </c>
      <c r="F3" s="18">
        <f>COUNTIF(UAT!$B:$B,A3)</f>
        <v/>
      </c>
    </row>
    <row r="4" ht="15" customHeight="1" s="10">
      <c r="A4" s="18" t="inlineStr">
        <is>
          <t>BR-03</t>
        </is>
      </c>
      <c r="B4" s="18">
        <f>IFERROR(INDEX(Requirements!$D:$D,MATCH(A4,Requirements!$A:$A,0)),"")</f>
        <v/>
      </c>
      <c r="C4" s="18" t="inlineStr">
        <is>
          <t>FR-03, FR-04</t>
        </is>
      </c>
      <c r="D4" s="18" t="inlineStr">
        <is>
          <t>US-01</t>
        </is>
      </c>
      <c r="E4" s="18" t="inlineStr">
        <is>
          <t>UAT-03</t>
        </is>
      </c>
      <c r="F4" s="18">
        <f>COUNTIF(UAT!$B:$B,A4)</f>
        <v/>
      </c>
    </row>
    <row r="5" ht="15" customHeight="1" s="10">
      <c r="A5" s="18" t="inlineStr">
        <is>
          <t>BR-04</t>
        </is>
      </c>
      <c r="B5" s="18">
        <f>IFERROR(INDEX(Requirements!$D:$D,MATCH(A5,Requirements!$A:$A,0)),"")</f>
        <v/>
      </c>
      <c r="C5" s="18" t="inlineStr">
        <is>
          <t>FR-05</t>
        </is>
      </c>
      <c r="D5" s="18" t="inlineStr">
        <is>
          <t>US-02</t>
        </is>
      </c>
      <c r="E5" s="18" t="inlineStr">
        <is>
          <t>UAT-04</t>
        </is>
      </c>
      <c r="F5" s="18">
        <f>COUNTIF(UAT!$B:$B,A5)</f>
        <v/>
      </c>
    </row>
    <row r="6" ht="15" customHeight="1" s="10">
      <c r="A6" s="18" t="inlineStr">
        <is>
          <t>BR-05</t>
        </is>
      </c>
      <c r="B6" s="18">
        <f>IFERROR(INDEX(Requirements!$D:$D,MATCH(A6,Requirements!$A:$A,0)),"")</f>
        <v/>
      </c>
      <c r="C6" s="18" t="inlineStr">
        <is>
          <t>FR-06</t>
        </is>
      </c>
      <c r="D6" s="18" t="inlineStr">
        <is>
          <t>US-03</t>
        </is>
      </c>
      <c r="E6" s="18" t="inlineStr">
        <is>
          <t>UAT-05</t>
        </is>
      </c>
      <c r="F6" s="18">
        <f>COUNTIF(UAT!$B:$B,A6)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12" customWidth="1" style="9" min="2" max="2"/>
    <col width="38" customWidth="1" style="9" min="3" max="3"/>
    <col width="45" customWidth="1" style="9" min="4" max="4"/>
  </cols>
  <sheetData>
    <row r="1" ht="15" customHeight="1" s="10">
      <c r="A1" s="17" t="inlineStr">
        <is>
          <t>Field</t>
        </is>
      </c>
      <c r="B1" s="17" t="inlineStr">
        <is>
          <t>Type</t>
        </is>
      </c>
      <c r="C1" s="17" t="inlineStr">
        <is>
          <t>Definition</t>
        </is>
      </c>
      <c r="D1" s="17" t="inlineStr">
        <is>
          <t>Allowed values</t>
        </is>
      </c>
    </row>
    <row r="2" ht="15" customHeight="1" s="10">
      <c r="A2" s="18" t="inlineStr">
        <is>
          <t>event_id</t>
        </is>
      </c>
      <c r="B2" s="18" t="inlineStr">
        <is>
          <t>Text</t>
        </is>
      </c>
      <c r="C2" s="18" t="inlineStr">
        <is>
          <t>Unique event</t>
        </is>
      </c>
      <c r="D2" s="18" t="inlineStr">
        <is>
          <t>EVT-0001 format</t>
        </is>
      </c>
    </row>
    <row r="3" ht="15" customHeight="1" s="10">
      <c r="A3" s="18" t="inlineStr">
        <is>
          <t>ticket_id</t>
        </is>
      </c>
      <c r="B3" s="18" t="inlineStr">
        <is>
          <t>Text</t>
        </is>
      </c>
      <c r="C3" s="18" t="inlineStr">
        <is>
          <t>Unique ticket</t>
        </is>
      </c>
      <c r="D3" s="18" t="inlineStr">
        <is>
          <t>Random, non-sequential</t>
        </is>
      </c>
    </row>
    <row r="4" ht="15" customHeight="1" s="10">
      <c r="A4" s="18" t="inlineStr">
        <is>
          <t>owner_id</t>
        </is>
      </c>
      <c r="B4" s="18" t="inlineStr">
        <is>
          <t>Text</t>
        </is>
      </c>
      <c r="C4" s="18" t="inlineStr">
        <is>
          <t>Current ticket owner</t>
        </is>
      </c>
      <c r="D4" s="18" t="inlineStr">
        <is>
          <t>User ID</t>
        </is>
      </c>
    </row>
    <row r="5" ht="23.85" customHeight="1" s="10">
      <c r="A5" s="18" t="inlineStr">
        <is>
          <t>ticket_state</t>
        </is>
      </c>
      <c r="B5" s="18" t="inlineStr">
        <is>
          <t>Category</t>
        </is>
      </c>
      <c r="C5" s="18" t="inlineStr">
        <is>
          <t>Lifecycle state</t>
        </is>
      </c>
      <c r="D5" s="18" t="inlineStr">
        <is>
          <t>Reserved, Issued, Transferred, Refunded, Scanned, Void</t>
        </is>
      </c>
    </row>
    <row r="6" ht="15" customHeight="1" s="10">
      <c r="A6" s="18" t="inlineStr">
        <is>
          <t>payment_status</t>
        </is>
      </c>
      <c r="B6" s="18" t="inlineStr">
        <is>
          <t>Category</t>
        </is>
      </c>
      <c r="C6" s="18" t="inlineStr">
        <is>
          <t>Payment state</t>
        </is>
      </c>
      <c r="D6" s="18" t="inlineStr">
        <is>
          <t>Pending, Confirmed, Failed, Refunded</t>
        </is>
      </c>
    </row>
    <row r="7" ht="15" customHeight="1" s="10">
      <c r="A7" s="18" t="inlineStr">
        <is>
          <t>scan_timestamp</t>
        </is>
      </c>
      <c r="B7" s="18" t="inlineStr">
        <is>
          <t>Datetime</t>
        </is>
      </c>
      <c r="C7" s="18" t="inlineStr">
        <is>
          <t>First valid scan</t>
        </is>
      </c>
      <c r="D7" s="18" t="inlineStr">
        <is>
          <t>ISO 8601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2026-09-25T01:59:53Z</dcterms:created>
  <dcterms:modified xmlns:dcterms="http://purl.org/dc/terms/" xmlns:xsi="http://www.w3.org/2001/XMLSchema-instance" xsi:type="dcterms:W3CDTF">2026-09-25T04:24:47Z</dcterms:modified>
  <cp:revision>0</cp:revision>
</cp:coreProperties>
</file>