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Objectives" sheetId="2" state="visible" r:id="rId2"/>
    <sheet xmlns:r="http://schemas.openxmlformats.org/officeDocument/2006/relationships" name="Requirements" sheetId="3" state="visible" r:id="rId3"/>
    <sheet xmlns:r="http://schemas.openxmlformats.org/officeDocument/2006/relationships" name="Functional" sheetId="4" state="visible" r:id="rId4"/>
    <sheet xmlns:r="http://schemas.openxmlformats.org/officeDocument/2006/relationships" name="User Stories" sheetId="5" state="visible" r:id="rId5"/>
    <sheet xmlns:r="http://schemas.openxmlformats.org/officeDocument/2006/relationships" name="Stakeholders" sheetId="6" state="visible" r:id="rId6"/>
    <sheet xmlns:r="http://schemas.openxmlformats.org/officeDocument/2006/relationships" name="RAID" sheetId="7" state="visible" r:id="rId7"/>
    <sheet xmlns:r="http://schemas.openxmlformats.org/officeDocument/2006/relationships" name="UAT" sheetId="8" state="visible" r:id="rId8"/>
    <sheet xmlns:r="http://schemas.openxmlformats.org/officeDocument/2006/relationships" name="Traceability" sheetId="9" state="visible" r:id="rId9"/>
    <sheet xmlns:r="http://schemas.openxmlformats.org/officeDocument/2006/relationships" name="Data Dictionary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5253D"/>
      <sz val="14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64748B"/>
      <sz val="11"/>
    </font>
  </fonts>
  <fills count="3">
    <fill>
      <patternFill/>
    </fill>
    <fill>
      <patternFill patternType="gray125"/>
    </fill>
    <fill>
      <patternFill patternType="solid">
        <fgColor rgb="FF15253D"/>
        <bgColor rgb="FF003366"/>
      </patternFill>
    </fill>
  </fills>
  <borders count="2">
    <border>
      <left/>
      <right/>
      <top/>
      <bottom/>
      <diagonal/>
    </border>
    <border>
      <left style="thin">
        <color rgb="FFD5DDE8"/>
      </left>
      <right style="thin">
        <color rgb="FFD5DDE8"/>
      </right>
      <top style="thin">
        <color rgb="FFD5DDE8"/>
      </top>
      <bottom style="thin">
        <color rgb="FFD5DD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5DD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5253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9" min="1" max="1"/>
    <col width="80" customWidth="1" style="9" min="2" max="2"/>
    <col width="16" customWidth="1" style="9" min="3" max="3"/>
  </cols>
  <sheetData>
    <row r="1" ht="17.35" customHeight="1" s="10">
      <c r="A1" s="11" t="inlineStr">
        <is>
          <t>Komfort Place Signature Digital Growth</t>
        </is>
      </c>
    </row>
    <row r="3" ht="15" customHeight="1" s="10">
      <c r="A3" s="12" t="inlineStr">
        <is>
          <t>Status</t>
        </is>
      </c>
      <c r="B3" s="13" t="inlineStr">
        <is>
          <t>Live</t>
        </is>
      </c>
    </row>
    <row r="4" ht="15" customHeight="1" s="10">
      <c r="A4" s="12" t="inlineStr">
        <is>
          <t>Domain</t>
        </is>
      </c>
      <c r="B4" s="13" t="inlineStr">
        <is>
          <t>Wellness and hospitality</t>
        </is>
      </c>
    </row>
    <row r="5" ht="15" customHeight="1" s="10">
      <c r="A5" s="12" t="inlineStr">
        <is>
          <t>Role</t>
        </is>
      </c>
      <c r="B5" s="13" t="inlineStr">
        <is>
          <t>Digital Product Lead and Business Analyst</t>
        </is>
      </c>
    </row>
    <row r="6" ht="23.85" customHeight="1" s="10">
      <c r="A6" s="12" t="inlineStr">
        <is>
          <t>Business problem</t>
        </is>
      </c>
      <c r="B6" s="13" t="inlineStr">
        <is>
          <t>Bookings arrived through social-media messages with no website funnel, no way to see which service or page produced a booking, no answer for questions outside opening hours and little local search presence.</t>
        </is>
      </c>
    </row>
    <row r="9" ht="15" customHeight="1" s="10">
      <c r="A9" s="14" t="inlineStr">
        <is>
          <t>Measure</t>
        </is>
      </c>
      <c r="B9" s="14" t="inlineStr">
        <is>
          <t>Value</t>
        </is>
      </c>
      <c r="C9" s="14" t="inlineStr">
        <is>
          <t>Source</t>
        </is>
      </c>
    </row>
    <row r="10" ht="15" customHeight="1" s="10">
      <c r="A10" s="15" t="inlineStr">
        <is>
          <t>Business requirements</t>
        </is>
      </c>
      <c r="B10" s="15">
        <f>COUNTA(Requirements!A2:A200)</f>
        <v/>
      </c>
      <c r="C10" s="15" t="inlineStr">
        <is>
          <t>Requirements</t>
        </is>
      </c>
    </row>
    <row r="11" ht="15" customHeight="1" s="10">
      <c r="A11" s="15" t="inlineStr">
        <is>
          <t>Must requirements</t>
        </is>
      </c>
      <c r="B11" s="15">
        <f>COUNTIF(Requirements!C2:C200,"Must")</f>
        <v/>
      </c>
      <c r="C11" s="15" t="inlineStr">
        <is>
          <t>Requirements</t>
        </is>
      </c>
    </row>
    <row r="12" ht="15" customHeight="1" s="10">
      <c r="A12" s="15" t="inlineStr">
        <is>
          <t>Should requirements</t>
        </is>
      </c>
      <c r="B12" s="15">
        <f>COUNTIF(Requirements!C2:C200,"Should")</f>
        <v/>
      </c>
      <c r="C12" s="15" t="inlineStr">
        <is>
          <t>Requirements</t>
        </is>
      </c>
    </row>
    <row r="13" ht="15" customHeight="1" s="10">
      <c r="A13" s="15" t="inlineStr">
        <is>
          <t>Functional requirements</t>
        </is>
      </c>
      <c r="B13" s="15">
        <f>COUNTA(Functional!A2:A200)</f>
        <v/>
      </c>
      <c r="C13" s="15" t="inlineStr">
        <is>
          <t>Functional</t>
        </is>
      </c>
    </row>
    <row r="14" ht="15" customHeight="1" s="10">
      <c r="A14" s="15" t="inlineStr">
        <is>
          <t>Requirements with a test</t>
        </is>
      </c>
      <c r="B14" s="15">
        <f>COUNTIF(Traceability!F2:F200,"&gt;0")</f>
        <v/>
      </c>
      <c r="C14" s="15" t="inlineStr">
        <is>
          <t>Traceability</t>
        </is>
      </c>
    </row>
    <row r="15" ht="15" customHeight="1" s="10">
      <c r="A15" s="15" t="inlineStr">
        <is>
          <t>Tests with status "Released"</t>
        </is>
      </c>
      <c r="B15" s="15">
        <f>COUNTIF(UAT!F2:F200,"Released")</f>
        <v/>
      </c>
      <c r="C15" s="15" t="inlineStr">
        <is>
          <t>UAT</t>
        </is>
      </c>
    </row>
    <row r="16" ht="15" customHeight="1" s="10">
      <c r="A16" s="15" t="inlineStr">
        <is>
          <t>High risks</t>
        </is>
      </c>
      <c r="B16" s="15">
        <f>COUNTIF(RAID!C2:C200,"High")</f>
        <v/>
      </c>
      <c r="C16" s="15" t="inlineStr">
        <is>
          <t>RAID</t>
        </is>
      </c>
    </row>
    <row r="17" ht="15" customHeight="1" s="10">
      <c r="A17" s="15" t="inlineStr">
        <is>
          <t>Stakeholder groups</t>
        </is>
      </c>
      <c r="B17" s="15">
        <f>COUNTA(Stakeholders!A2:A200)</f>
        <v/>
      </c>
      <c r="C17" s="15" t="inlineStr">
        <is>
          <t>Stakeholders</t>
        </is>
      </c>
    </row>
    <row r="19" ht="15" customHeight="1" s="10">
      <c r="A19" s="16" t="inlineStr">
        <is>
          <t>Counts are formulas and update when rows are added. Status values are recorded on the UAT sheet.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9" min="1" max="1"/>
    <col width="70" customWidth="1" style="9" min="2" max="2"/>
  </cols>
  <sheetData>
    <row r="1" ht="15" customHeight="1" s="10">
      <c r="A1" s="17" t="inlineStr">
        <is>
          <t>Objective ID</t>
        </is>
      </c>
      <c r="B1" s="17" t="inlineStr">
        <is>
          <t>Objective</t>
        </is>
      </c>
    </row>
    <row r="2" ht="15" customHeight="1" s="10">
      <c r="A2" s="18" t="inlineStr">
        <is>
          <t>OBJ-01</t>
        </is>
      </c>
      <c r="B2" s="18" t="inlineStr">
        <is>
          <t>Turn website visits into WhatsApp booking conversations</t>
        </is>
      </c>
    </row>
    <row r="3" ht="15" customHeight="1" s="10">
      <c r="A3" s="18" t="inlineStr">
        <is>
          <t>OBJ-02</t>
        </is>
      </c>
      <c r="B3" s="18" t="inlineStr">
        <is>
          <t>Measure which pages and buttons produce booking enquiries</t>
        </is>
      </c>
    </row>
    <row r="4" ht="15" customHeight="1" s="10">
      <c r="A4" s="18" t="inlineStr">
        <is>
          <t>OBJ-03</t>
        </is>
      </c>
      <c r="B4" s="18" t="inlineStr">
        <is>
          <t>Grow organic visibility for local service searches</t>
        </is>
      </c>
    </row>
    <row r="5" ht="15" customHeight="1" s="10">
      <c r="A5" s="18" t="inlineStr">
        <is>
          <t>OBJ-04</t>
        </is>
      </c>
      <c r="B5" s="18" t="inlineStr">
        <is>
          <t>Encourage repeat visits</t>
        </is>
      </c>
    </row>
    <row r="6">
      <c r="A6" s="18" t="inlineStr">
        <is>
          <t>OBJ-05</t>
        </is>
      </c>
      <c r="B6" s="18" t="inlineStr">
        <is>
          <t>Respect visitor consent and platform content policies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55" customWidth="1" style="9" min="2" max="2"/>
    <col width="10" customWidth="1" style="9" min="3" max="3"/>
    <col width="13" customWidth="1" style="9" min="4" max="4"/>
    <col width="40" customWidth="1" style="9" min="5" max="5"/>
    <col width="55" customWidth="1" style="9" min="6" max="6"/>
  </cols>
  <sheetData>
    <row r="1" ht="15" customHeight="1" s="10">
      <c r="A1" s="17" t="inlineStr">
        <is>
          <t>ID</t>
        </is>
      </c>
      <c r="B1" s="17" t="inlineStr">
        <is>
          <t>Requirement</t>
        </is>
      </c>
      <c r="C1" s="17" t="inlineStr">
        <is>
          <t>Priority</t>
        </is>
      </c>
      <c r="D1" s="17" t="inlineStr">
        <is>
          <t>Objective ID</t>
        </is>
      </c>
      <c r="E1" s="17" t="inlineStr">
        <is>
          <t>Objective</t>
        </is>
      </c>
      <c r="F1" s="17" t="inlineStr">
        <is>
          <t>Acceptance criterion</t>
        </is>
      </c>
    </row>
    <row r="2" ht="23.85" customHeight="1" s="10">
      <c r="A2" s="18" t="inlineStr">
        <is>
          <t>BR-01</t>
        </is>
      </c>
      <c r="B2" s="18" t="inlineStr">
        <is>
          <t>Every page offers one-tap WhatsApp booking</t>
        </is>
      </c>
      <c r="C2" s="18" t="inlineStr">
        <is>
          <t>Must</t>
        </is>
      </c>
      <c r="D2" s="18" t="inlineStr">
        <is>
          <t>OBJ-01</t>
        </is>
      </c>
      <c r="E2" s="18" t="inlineStr">
        <is>
          <t>Turn website visits into WhatsApp booking conversations</t>
        </is>
      </c>
      <c r="F2" s="18" t="inlineStr">
        <is>
          <t>A booking button is always visible on mobile and opens WhatsApp with a prefilled message</t>
        </is>
      </c>
    </row>
    <row r="3" ht="23.85" customHeight="1" s="10">
      <c r="A3" s="18" t="inlineStr">
        <is>
          <t>BR-02</t>
        </is>
      </c>
      <c r="B3" s="18" t="inlineStr">
        <is>
          <t>Common questions are answered at any hour</t>
        </is>
      </c>
      <c r="C3" s="18" t="inlineStr">
        <is>
          <t>Should</t>
        </is>
      </c>
      <c r="D3" s="18" t="inlineStr">
        <is>
          <t>OBJ-01</t>
        </is>
      </c>
      <c r="E3" s="18" t="inlineStr">
        <is>
          <t>Turn website visits into WhatsApp booking conversations</t>
        </is>
      </c>
      <c r="F3" s="18" t="inlineStr">
        <is>
          <t>The assistant answers approved FAQs and hands the visitor to WhatsApp to book</t>
        </is>
      </c>
    </row>
    <row r="4" ht="23.85" customHeight="1" s="10">
      <c r="A4" s="18" t="inlineStr">
        <is>
          <t>BR-03</t>
        </is>
      </c>
      <c r="B4" s="18" t="inlineStr">
        <is>
          <t>Booking clicks and page views are recorded first-party</t>
        </is>
      </c>
      <c r="C4" s="18" t="inlineStr">
        <is>
          <t>Must</t>
        </is>
      </c>
      <c r="D4" s="18" t="inlineStr">
        <is>
          <t>OBJ-02</t>
        </is>
      </c>
      <c r="E4" s="18" t="inlineStr">
        <is>
          <t>Measure which pages and buttons produce booking enquiries</t>
        </is>
      </c>
      <c r="F4" s="18" t="inlineStr">
        <is>
          <t>Each event stores name, label, page, referrer and session; the admin dashboard filters by range, including today by hour</t>
        </is>
      </c>
    </row>
    <row r="5" ht="23.85" customHeight="1" s="10">
      <c r="A5" s="18" t="inlineStr">
        <is>
          <t>BR-04</t>
        </is>
      </c>
      <c r="B5" s="18" t="inlineStr">
        <is>
          <t>Each service and the location have indexable content</t>
        </is>
      </c>
      <c r="C5" s="18" t="inlineStr">
        <is>
          <t>Must</t>
        </is>
      </c>
      <c r="D5" s="18" t="inlineStr">
        <is>
          <t>OBJ-03</t>
        </is>
      </c>
      <c r="E5" s="18" t="inlineStr">
        <is>
          <t>Grow organic visibility for local service searches</t>
        </is>
      </c>
      <c r="F5" s="18" t="inlineStr">
        <is>
          <t>Sitemap, meta and share tags, structured data and breadcrumbs are present and submitted to Search Console</t>
        </is>
      </c>
    </row>
    <row r="6" ht="23.85" customHeight="1" s="10">
      <c r="A6" s="18" t="inlineStr">
        <is>
          <t>BR-05</t>
        </is>
      </c>
      <c r="B6" s="18" t="inlineStr">
        <is>
          <t>Repeat visits are rewarded</t>
        </is>
      </c>
      <c r="C6" s="18" t="inlineStr">
        <is>
          <t>Should</t>
        </is>
      </c>
      <c r="D6" s="18" t="inlineStr">
        <is>
          <t>OBJ-04</t>
        </is>
      </c>
      <c r="E6" s="18" t="inlineStr">
        <is>
          <t>Encourage repeat visits</t>
        </is>
      </c>
      <c r="F6" s="18" t="inlineStr">
        <is>
          <t>Loyalty card rules are published and the Spin &amp; Win reward leads to a booking message</t>
        </is>
      </c>
    </row>
    <row r="7">
      <c r="A7" s="18" t="inlineStr">
        <is>
          <t>BR-06</t>
        </is>
      </c>
      <c r="B7" s="18" t="inlineStr">
        <is>
          <t>Third-party tracking loads only after consent</t>
        </is>
      </c>
      <c r="C7" s="18" t="inlineStr">
        <is>
          <t>Must</t>
        </is>
      </c>
      <c r="D7" s="18" t="inlineStr">
        <is>
          <t>OBJ-05</t>
        </is>
      </c>
      <c r="E7" s="18" t="inlineStr">
        <is>
          <t>Respect visitor consent and platform content policies</t>
        </is>
      </c>
      <c r="F7" s="18" t="inlineStr">
        <is>
          <t>GA4 and Meta Pixel stay blocked until the visitor accepts</t>
        </is>
      </c>
    </row>
    <row r="8">
      <c r="A8" s="18" t="inlineStr">
        <is>
          <t>BR-07</t>
        </is>
      </c>
      <c r="B8" s="18" t="inlineStr">
        <is>
          <t>Published content complies with search and ad policies</t>
        </is>
      </c>
      <c r="C8" s="18" t="inlineStr">
        <is>
          <t>Must</t>
        </is>
      </c>
      <c r="D8" s="18" t="inlineStr">
        <is>
          <t>OBJ-05</t>
        </is>
      </c>
      <c r="E8" s="18" t="inlineStr">
        <is>
          <t>Respect visitor consent and platform content policies</t>
        </is>
      </c>
      <c r="F8" s="18" t="inlineStr">
        <is>
          <t>Each article is reviewed before publishing; non-compliant content is withdrawn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11" customWidth="1" style="9" min="2" max="2"/>
    <col width="60" customWidth="1" style="9" min="3" max="3"/>
    <col width="55" customWidth="1" style="9" min="4" max="4"/>
  </cols>
  <sheetData>
    <row r="1" ht="15" customHeight="1" s="10">
      <c r="A1" s="17" t="inlineStr">
        <is>
          <t>ID</t>
        </is>
      </c>
      <c r="B1" s="17" t="inlineStr">
        <is>
          <t>Parent BR</t>
        </is>
      </c>
      <c r="C1" s="17" t="inlineStr">
        <is>
          <t>System behaviour</t>
        </is>
      </c>
      <c r="D1" s="17" t="inlineStr">
        <is>
          <t>Business rule or validation</t>
        </is>
      </c>
    </row>
    <row r="2" ht="23.85" customHeight="1" s="10">
      <c r="A2" s="18" t="inlineStr">
        <is>
          <t>FR-01</t>
        </is>
      </c>
      <c r="B2" s="18" t="inlineStr">
        <is>
          <t>BR-01</t>
        </is>
      </c>
      <c r="C2" s="18" t="inlineStr">
        <is>
          <t>Floating WhatsApp widget and sticky mobile call to action</t>
        </is>
      </c>
      <c r="D2" s="18" t="inlineStr">
        <is>
          <t>Message is prefilled with the service or page the visitor came from</t>
        </is>
      </c>
    </row>
    <row r="3" ht="15" customHeight="1" s="10">
      <c r="A3" s="18" t="inlineStr">
        <is>
          <t>FR-02</t>
        </is>
      </c>
      <c r="B3" s="18" t="inlineStr">
        <is>
          <t>BR-02</t>
        </is>
      </c>
      <c r="C3" s="18" t="inlineStr">
        <is>
          <t>Chat assistant trained on approved service, price and hours content</t>
        </is>
      </c>
      <c r="D3" s="18" t="inlineStr">
        <is>
          <t>Flags booking requests with an auto-reply and link to WhatsApp</t>
        </is>
      </c>
    </row>
    <row r="4" ht="15" customHeight="1" s="10">
      <c r="A4" s="18" t="inlineStr">
        <is>
          <t>FR-03</t>
        </is>
      </c>
      <c r="B4" s="18" t="inlineStr">
        <is>
          <t>BR-03</t>
        </is>
      </c>
      <c r="C4" s="18" t="inlineStr">
        <is>
          <t>Click-event capture to a first-party table</t>
        </is>
      </c>
      <c r="D4" s="18" t="inlineStr">
        <is>
          <t>Anonymous session ID only; insert-only access for visitors</t>
        </is>
      </c>
    </row>
    <row r="5" ht="23.85" customHeight="1" s="10">
      <c r="A5" s="18" t="inlineStr">
        <is>
          <t>FR-04</t>
        </is>
      </c>
      <c r="B5" s="18" t="inlineStr">
        <is>
          <t>BR-03</t>
        </is>
      </c>
      <c r="C5" s="18" t="inlineStr">
        <is>
          <t>Admin analytics dashboard with range picker</t>
        </is>
      </c>
      <c r="D5" s="18" t="inlineStr">
        <is>
          <t>Ranges include Today by hour; totals by page and button</t>
        </is>
      </c>
    </row>
    <row r="6" ht="23.85" customHeight="1" s="10">
      <c r="A6" s="18" t="inlineStr">
        <is>
          <t>FR-05</t>
        </is>
      </c>
      <c r="B6" s="18" t="inlineStr">
        <is>
          <t>BR-04</t>
        </is>
      </c>
      <c r="C6" s="18" t="inlineStr">
        <is>
          <t>SEO layer: favicon set, share image, meta, sitemap, breadcrumbs</t>
        </is>
      </c>
      <c r="D6" s="18" t="inlineStr">
        <is>
          <t>Every route has a canonical URL and unique title</t>
        </is>
      </c>
    </row>
    <row r="7" ht="23.85" customHeight="1" s="10">
      <c r="A7" s="18" t="inlineStr">
        <is>
          <t>FR-06</t>
        </is>
      </c>
      <c r="B7" s="18" t="inlineStr">
        <is>
          <t>BR-04</t>
        </is>
      </c>
      <c r="C7" s="18" t="inlineStr">
        <is>
          <t>Blog of local service guides</t>
        </is>
      </c>
      <c r="D7" s="18" t="inlineStr">
        <is>
          <t>Each guide links to its service and to booking</t>
        </is>
      </c>
    </row>
    <row r="8">
      <c r="A8" s="18" t="inlineStr">
        <is>
          <t>FR-07</t>
        </is>
      </c>
      <c r="B8" s="18" t="inlineStr">
        <is>
          <t>BR-05</t>
        </is>
      </c>
      <c r="C8" s="18" t="inlineStr">
        <is>
          <t>Loyalty card page and Spin &amp; Win prompt</t>
        </is>
      </c>
      <c r="D8" s="18" t="inlineStr">
        <is>
          <t>Prompt does not clash with other pop-ups</t>
        </is>
      </c>
    </row>
    <row r="9">
      <c r="A9" s="18" t="inlineStr">
        <is>
          <t>FR-08</t>
        </is>
      </c>
      <c r="B9" s="18" t="inlineStr">
        <is>
          <t>BR-06</t>
        </is>
      </c>
      <c r="C9" s="18" t="inlineStr">
        <is>
          <t>Cookie consent banner controlling GA4 and Meta Pixel</t>
        </is>
      </c>
      <c r="D9" s="18" t="inlineStr">
        <is>
          <t>No third-party request before consent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9" min="1" max="1"/>
    <col width="10" customWidth="1" style="9" min="2" max="2"/>
    <col width="22" customWidth="1" style="9" min="3" max="3"/>
    <col width="35" customWidth="1" style="9" min="4" max="5"/>
    <col width="30" customWidth="1" style="9" min="6" max="6"/>
    <col width="28" customWidth="1" style="9" min="7" max="7"/>
    <col width="40" customWidth="1" style="9" min="8" max="8"/>
  </cols>
  <sheetData>
    <row r="1" ht="26.85" customHeight="1" s="10">
      <c r="A1" s="17" t="inlineStr">
        <is>
          <t>ID</t>
        </is>
      </c>
      <c r="B1" s="17" t="inlineStr">
        <is>
          <t>Parent BR</t>
        </is>
      </c>
      <c r="C1" s="17" t="inlineStr">
        <is>
          <t>As a</t>
        </is>
      </c>
      <c r="D1" s="17" t="inlineStr">
        <is>
          <t>I want</t>
        </is>
      </c>
      <c r="E1" s="17" t="inlineStr">
        <is>
          <t>So that</t>
        </is>
      </c>
      <c r="F1" s="17" t="inlineStr">
        <is>
          <t>Given</t>
        </is>
      </c>
      <c r="G1" s="17" t="inlineStr">
        <is>
          <t>When</t>
        </is>
      </c>
      <c r="H1" s="17" t="inlineStr">
        <is>
          <t>Then</t>
        </is>
      </c>
    </row>
    <row r="2" ht="23.85" customHeight="1" s="10">
      <c r="A2" s="18" t="inlineStr">
        <is>
          <t>US-01</t>
        </is>
      </c>
      <c r="B2" s="18" t="inlineStr">
        <is>
          <t>BR-01</t>
        </is>
      </c>
      <c r="C2" s="18" t="inlineStr">
        <is>
          <t>a visitor on my phone</t>
        </is>
      </c>
      <c r="D2" s="18" t="inlineStr">
        <is>
          <t>to book a massage with one tap</t>
        </is>
      </c>
      <c r="E2" s="18" t="inlineStr">
        <is>
          <t>I do not have to search for a number</t>
        </is>
      </c>
      <c r="F2" s="18" t="inlineStr">
        <is>
          <t>I am reading a service page</t>
        </is>
      </c>
      <c r="G2" s="18" t="inlineStr">
        <is>
          <t>I tap Book on WhatsApp</t>
        </is>
      </c>
      <c r="H2" s="18" t="inlineStr">
        <is>
          <t>WhatsApp opens with the service already named</t>
        </is>
      </c>
    </row>
    <row r="3" ht="23.85" customHeight="1" s="10">
      <c r="A3" s="18" t="inlineStr">
        <is>
          <t>US-02</t>
        </is>
      </c>
      <c r="B3" s="18" t="inlineStr">
        <is>
          <t>BR-03</t>
        </is>
      </c>
      <c r="C3" s="18" t="inlineStr">
        <is>
          <t>the spa manager</t>
        </is>
      </c>
      <c r="D3" s="18" t="inlineStr">
        <is>
          <t>to see which pages lead to booking taps</t>
        </is>
      </c>
      <c r="E3" s="18" t="inlineStr">
        <is>
          <t>I know which services to promote</t>
        </is>
      </c>
      <c r="F3" s="18" t="inlineStr">
        <is>
          <t>visitors have tapped booking buttons today</t>
        </is>
      </c>
      <c r="G3" s="18" t="inlineStr">
        <is>
          <t>I open the analytics dashboard</t>
        </is>
      </c>
      <c r="H3" s="18" t="inlineStr">
        <is>
          <t>I see taps by page and by hour</t>
        </is>
      </c>
    </row>
    <row r="4" ht="23.85" customHeight="1" s="10">
      <c r="A4" s="18" t="inlineStr">
        <is>
          <t>US-03</t>
        </is>
      </c>
      <c r="B4" s="18" t="inlineStr">
        <is>
          <t>BR-02</t>
        </is>
      </c>
      <c r="C4" s="18" t="inlineStr">
        <is>
          <t>a visitor browsing late at night</t>
        </is>
      </c>
      <c r="D4" s="18" t="inlineStr">
        <is>
          <t>an answer about prices and hours now</t>
        </is>
      </c>
      <c r="E4" s="18" t="inlineStr">
        <is>
          <t>I can decide before the spa opens</t>
        </is>
      </c>
      <c r="F4" s="18" t="inlineStr">
        <is>
          <t>the spa is closed</t>
        </is>
      </c>
      <c r="G4" s="18" t="inlineStr">
        <is>
          <t>I ask the assistant</t>
        </is>
      </c>
      <c r="H4" s="18" t="inlineStr">
        <is>
          <t>I get an approved answer and a link to book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9" min="1" max="1"/>
    <col width="11" customWidth="1" style="9" min="2" max="2"/>
    <col width="10" customWidth="1" style="9" min="3" max="3"/>
    <col width="32" customWidth="1" style="9" min="4" max="6"/>
    <col width="22" customWidth="1" style="9" min="7" max="7"/>
    <col width="16" customWidth="1" style="9" min="8" max="8"/>
  </cols>
  <sheetData>
    <row r="1" ht="15" customHeight="1" s="10">
      <c r="A1" s="17" t="inlineStr">
        <is>
          <t>Stakeholder</t>
        </is>
      </c>
      <c r="B1" s="17" t="inlineStr">
        <is>
          <t>Influence</t>
        </is>
      </c>
      <c r="C1" s="17" t="inlineStr">
        <is>
          <t>Interest</t>
        </is>
      </c>
      <c r="D1" s="17" t="inlineStr">
        <is>
          <t>Primary interest</t>
        </is>
      </c>
      <c r="E1" s="17" t="inlineStr">
        <is>
          <t>Information need</t>
        </is>
      </c>
      <c r="F1" s="17" t="inlineStr">
        <is>
          <t>Method</t>
        </is>
      </c>
      <c r="G1" s="17" t="inlineStr">
        <is>
          <t>Cadence</t>
        </is>
      </c>
      <c r="H1" s="17" t="inlineStr">
        <is>
          <t>Approach</t>
        </is>
      </c>
    </row>
    <row r="2" ht="15" customHeight="1" s="10">
      <c r="A2" s="18" t="inlineStr">
        <is>
          <t>Spa owner and management</t>
        </is>
      </c>
      <c r="B2" s="18" t="inlineStr">
        <is>
          <t>High</t>
        </is>
      </c>
      <c r="C2" s="18" t="inlineStr">
        <is>
          <t>High</t>
        </is>
      </c>
      <c r="D2" s="18" t="inlineStr">
        <is>
          <t>Bookings, brand and repeat clients</t>
        </is>
      </c>
      <c r="E2" s="18" t="inlineStr">
        <is>
          <t>Booking sources and trends</t>
        </is>
      </c>
      <c r="F2" s="18" t="inlineStr">
        <is>
          <t>Dashboard review</t>
        </is>
      </c>
      <c r="G2" s="18" t="inlineStr">
        <is>
          <t>Weekly</t>
        </is>
      </c>
      <c r="H2" s="18" t="inlineStr">
        <is>
          <t>Manage closely</t>
        </is>
      </c>
    </row>
    <row r="3" ht="15" customHeight="1" s="10">
      <c r="A3" s="18" t="inlineStr">
        <is>
          <t>Front desk and WhatsApp team</t>
        </is>
      </c>
      <c r="B3" s="18" t="inlineStr">
        <is>
          <t>Medium</t>
        </is>
      </c>
      <c r="C3" s="18" t="inlineStr">
        <is>
          <t>High</t>
        </is>
      </c>
      <c r="D3" s="18" t="inlineStr">
        <is>
          <t>Qualified, clear booking messages</t>
        </is>
      </c>
      <c r="E3" s="18" t="inlineStr">
        <is>
          <t>What visitors ask and book</t>
        </is>
      </c>
      <c r="F3" s="18" t="inlineStr">
        <is>
          <t>Demonstration and feedback</t>
        </is>
      </c>
      <c r="G3" s="18" t="inlineStr">
        <is>
          <t>Per change</t>
        </is>
      </c>
      <c r="H3" s="18" t="inlineStr">
        <is>
          <t>Keep informed</t>
        </is>
      </c>
    </row>
    <row r="4" ht="23.85" customHeight="1" s="10">
      <c r="A4" s="18" t="inlineStr">
        <is>
          <t>Therapists</t>
        </is>
      </c>
      <c r="B4" s="18" t="inlineStr">
        <is>
          <t>Low</t>
        </is>
      </c>
      <c r="C4" s="18" t="inlineStr">
        <is>
          <t>Medium</t>
        </is>
      </c>
      <c r="D4" s="18" t="inlineStr">
        <is>
          <t>Accurate, respectful representation</t>
        </is>
      </c>
      <c r="E4" s="18" t="inlineStr">
        <is>
          <t>How they are presented</t>
        </is>
      </c>
      <c r="F4" s="18" t="inlineStr">
        <is>
          <t>Review before publishing</t>
        </is>
      </c>
      <c r="G4" s="18" t="inlineStr">
        <is>
          <t>On roster change</t>
        </is>
      </c>
      <c r="H4" s="18" t="inlineStr">
        <is>
          <t>Keep informed</t>
        </is>
      </c>
    </row>
    <row r="5" ht="15" customHeight="1" s="10">
      <c r="A5" s="18" t="inlineStr">
        <is>
          <t>New clients</t>
        </is>
      </c>
      <c r="B5" s="18" t="inlineStr">
        <is>
          <t>Low</t>
        </is>
      </c>
      <c r="C5" s="18" t="inlineStr">
        <is>
          <t>High</t>
        </is>
      </c>
      <c r="D5" s="18" t="inlineStr">
        <is>
          <t>Clear services, prices and trust signals</t>
        </is>
      </c>
      <c r="E5" s="18" t="inlineStr">
        <is>
          <t>Services, prices, reviews</t>
        </is>
      </c>
      <c r="F5" s="18" t="inlineStr">
        <is>
          <t>Website and assistant</t>
        </is>
      </c>
      <c r="G5" s="18" t="inlineStr">
        <is>
          <t>Continuous</t>
        </is>
      </c>
      <c r="H5" s="18" t="inlineStr">
        <is>
          <t>Keep informed</t>
        </is>
      </c>
    </row>
    <row r="6" ht="15" customHeight="1" s="10">
      <c r="A6" s="18" t="inlineStr">
        <is>
          <t>Returning clients</t>
        </is>
      </c>
      <c r="B6" s="18" t="inlineStr">
        <is>
          <t>Low</t>
        </is>
      </c>
      <c r="C6" s="18" t="inlineStr">
        <is>
          <t>Medium</t>
        </is>
      </c>
      <c r="D6" s="18" t="inlineStr">
        <is>
          <t>Rewards and easy rebooking</t>
        </is>
      </c>
      <c r="E6" s="18" t="inlineStr">
        <is>
          <t>Loyalty rules</t>
        </is>
      </c>
      <c r="F6" s="18" t="inlineStr">
        <is>
          <t>Website and WhatsApp</t>
        </is>
      </c>
      <c r="G6" s="18" t="inlineStr">
        <is>
          <t>Per visit</t>
        </is>
      </c>
      <c r="H6" s="18" t="inlineStr">
        <is>
          <t>Keep informed</t>
        </is>
      </c>
    </row>
    <row r="7">
      <c r="A7" s="18" t="inlineStr">
        <is>
          <t>Search and ad platforms</t>
        </is>
      </c>
      <c r="B7" s="18" t="inlineStr">
        <is>
          <t>High</t>
        </is>
      </c>
      <c r="C7" s="18" t="inlineStr">
        <is>
          <t>Low</t>
        </is>
      </c>
      <c r="D7" s="18" t="inlineStr">
        <is>
          <t>Policy-compliant content</t>
        </is>
      </c>
      <c r="E7" s="18" t="inlineStr">
        <is>
          <t>Content policies</t>
        </is>
      </c>
      <c r="F7" s="18" t="inlineStr">
        <is>
          <t>Search Console and ad tools</t>
        </is>
      </c>
      <c r="G7" s="18" t="inlineStr">
        <is>
          <t>Per release</t>
        </is>
      </c>
      <c r="H7" s="18" t="inlineStr">
        <is>
          <t>Monitor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9" min="1" max="1"/>
    <col width="42" customWidth="1" style="9" min="2" max="2"/>
    <col width="10" customWidth="1" style="9" min="3" max="3"/>
    <col width="42" customWidth="1" style="9" min="4" max="4"/>
    <col width="22" customWidth="1" style="9" min="5" max="5"/>
  </cols>
  <sheetData>
    <row r="1" ht="15" customHeight="1" s="10">
      <c r="A1" s="17" t="inlineStr">
        <is>
          <t>ID</t>
        </is>
      </c>
      <c r="B1" s="17" t="inlineStr">
        <is>
          <t>Risk</t>
        </is>
      </c>
      <c r="C1" s="17" t="inlineStr">
        <is>
          <t>Severity</t>
        </is>
      </c>
      <c r="D1" s="17" t="inlineStr">
        <is>
          <t>Response</t>
        </is>
      </c>
      <c r="E1" s="17" t="inlineStr">
        <is>
          <t>Owner</t>
        </is>
      </c>
    </row>
    <row r="2" ht="23.85" customHeight="1" s="10">
      <c r="A2" s="18" t="inlineStr">
        <is>
          <t>R-01</t>
        </is>
      </c>
      <c r="B2" s="18" t="inlineStr">
        <is>
          <t>Content breaches search or ad policy</t>
        </is>
      </c>
      <c r="C2" s="18" t="inlineStr">
        <is>
          <t>High</t>
        </is>
      </c>
      <c r="D2" s="18" t="inlineStr">
        <is>
          <t>Review before publishing; withdraw non-compliant posts</t>
        </is>
      </c>
      <c r="E2" s="18" t="inlineStr">
        <is>
          <t>Digital product lead</t>
        </is>
      </c>
    </row>
    <row r="3" ht="15" customHeight="1" s="10">
      <c r="A3" s="18" t="inlineStr">
        <is>
          <t>R-02</t>
        </is>
      </c>
      <c r="B3" s="18" t="inlineStr">
        <is>
          <t>Assistant gives a wrong price or availability</t>
        </is>
      </c>
      <c r="C3" s="18" t="inlineStr">
        <is>
          <t>High</t>
        </is>
      </c>
      <c r="D3" s="18" t="inlineStr">
        <is>
          <t>Approved content only and handoff to WhatsApp</t>
        </is>
      </c>
      <c r="E3" s="18" t="inlineStr">
        <is>
          <t>Digital product lead</t>
        </is>
      </c>
    </row>
    <row r="4" ht="15" customHeight="1" s="10">
      <c r="A4" s="18" t="inlineStr">
        <is>
          <t>R-03</t>
        </is>
      </c>
      <c r="B4" s="18" t="inlineStr">
        <is>
          <t>Roster changes leave the site out of date</t>
        </is>
      </c>
      <c r="C4" s="18" t="inlineStr">
        <is>
          <t>Medium</t>
        </is>
      </c>
      <c r="D4" s="18" t="inlineStr">
        <is>
          <t>One roster list drives every page and prompt</t>
        </is>
      </c>
      <c r="E4" s="18" t="inlineStr">
        <is>
          <t>Management</t>
        </is>
      </c>
    </row>
    <row r="5" ht="15" customHeight="1" s="10">
      <c r="A5" s="18" t="inlineStr">
        <is>
          <t>R-04</t>
        </is>
      </c>
      <c r="B5" s="18" t="inlineStr">
        <is>
          <t>Declined consent reduces third-party data</t>
        </is>
      </c>
      <c r="C5" s="18" t="inlineStr">
        <is>
          <t>Medium</t>
        </is>
      </c>
      <c r="D5" s="18" t="inlineStr">
        <is>
          <t>First-party click analytics as the baseline</t>
        </is>
      </c>
      <c r="E5" s="18" t="inlineStr">
        <is>
          <t>Digital product lead</t>
        </is>
      </c>
    </row>
    <row r="6">
      <c r="A6" s="18" t="inlineStr">
        <is>
          <t>R-05</t>
        </is>
      </c>
      <c r="B6" s="18" t="inlineStr">
        <is>
          <t>Staff images published without agreement</t>
        </is>
      </c>
      <c r="C6" s="18" t="inlineStr">
        <is>
          <t>Medium</t>
        </is>
      </c>
      <c r="D6" s="18" t="inlineStr">
        <is>
          <t>Approval before any photo goes live</t>
        </is>
      </c>
      <c r="E6" s="18" t="inlineStr">
        <is>
          <t>Management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9" min="1" max="1"/>
    <col width="12" customWidth="1" style="9" min="2" max="2"/>
    <col width="36" customWidth="1" style="9" min="3" max="3"/>
    <col width="34" customWidth="1" style="9" min="4" max="4"/>
    <col width="44" customWidth="1" style="9" min="5" max="5"/>
    <col width="26" customWidth="1" style="9" min="6" max="6"/>
  </cols>
  <sheetData>
    <row r="1" ht="26.85" customHeight="1" s="10">
      <c r="A1" s="17" t="inlineStr">
        <is>
          <t>Test ID</t>
        </is>
      </c>
      <c r="B1" s="17" t="inlineStr">
        <is>
          <t>Requirement</t>
        </is>
      </c>
      <c r="C1" s="17" t="inlineStr">
        <is>
          <t>Given</t>
        </is>
      </c>
      <c r="D1" s="17" t="inlineStr">
        <is>
          <t>When</t>
        </is>
      </c>
      <c r="E1" s="17" t="inlineStr">
        <is>
          <t>Then</t>
        </is>
      </c>
      <c r="F1" s="17" t="inlineStr">
        <is>
          <t>Status</t>
        </is>
      </c>
    </row>
    <row r="2" ht="23.85" customHeight="1" s="10">
      <c r="A2" s="18" t="inlineStr">
        <is>
          <t>UAT-01</t>
        </is>
      </c>
      <c r="B2" s="18" t="inlineStr">
        <is>
          <t>BR-01</t>
        </is>
      </c>
      <c r="C2" s="18" t="inlineStr">
        <is>
          <t>a mobile visitor on any page</t>
        </is>
      </c>
      <c r="D2" s="18" t="inlineStr">
        <is>
          <t>they scroll</t>
        </is>
      </c>
      <c r="E2" s="18" t="inlineStr">
        <is>
          <t>the booking button stays visible and opens WhatsApp</t>
        </is>
      </c>
      <c r="F2" s="18" t="inlineStr">
        <is>
          <t>Released</t>
        </is>
      </c>
    </row>
    <row r="3" ht="15" customHeight="1" s="10">
      <c r="A3" s="18" t="inlineStr">
        <is>
          <t>UAT-02</t>
        </is>
      </c>
      <c r="B3" s="18" t="inlineStr">
        <is>
          <t>BR-02</t>
        </is>
      </c>
      <c r="C3" s="18" t="inlineStr">
        <is>
          <t>the spa is closed</t>
        </is>
      </c>
      <c r="D3" s="18" t="inlineStr">
        <is>
          <t>a visitor asks about prices</t>
        </is>
      </c>
      <c r="E3" s="18" t="inlineStr">
        <is>
          <t>the assistant answers and offers the booking link</t>
        </is>
      </c>
      <c r="F3" s="18" t="inlineStr">
        <is>
          <t>Released</t>
        </is>
      </c>
    </row>
    <row r="4" ht="15" customHeight="1" s="10">
      <c r="A4" s="18" t="inlineStr">
        <is>
          <t>UAT-03</t>
        </is>
      </c>
      <c r="B4" s="18" t="inlineStr">
        <is>
          <t>BR-03</t>
        </is>
      </c>
      <c r="C4" s="18" t="inlineStr">
        <is>
          <t>a visitor taps a booking button</t>
        </is>
      </c>
      <c r="D4" s="18" t="inlineStr">
        <is>
          <t>the manager opens Today</t>
        </is>
      </c>
      <c r="E4" s="18" t="inlineStr">
        <is>
          <t>the tap appears under that page and hour</t>
        </is>
      </c>
      <c r="F4" s="18" t="inlineStr">
        <is>
          <t>Released</t>
        </is>
      </c>
    </row>
    <row r="5" ht="15" customHeight="1" s="10">
      <c r="A5" s="18" t="inlineStr">
        <is>
          <t>UAT-04</t>
        </is>
      </c>
      <c r="B5" s="18" t="inlineStr">
        <is>
          <t>BR-04</t>
        </is>
      </c>
      <c r="C5" s="18" t="inlineStr">
        <is>
          <t>a new guide is published</t>
        </is>
      </c>
      <c r="D5" s="18" t="inlineStr">
        <is>
          <t>the sitemap is regenerated</t>
        </is>
      </c>
      <c r="E5" s="18" t="inlineStr">
        <is>
          <t>the URL is listed with a canonical tag</t>
        </is>
      </c>
      <c r="F5" s="18" t="inlineStr">
        <is>
          <t>Released</t>
        </is>
      </c>
    </row>
    <row r="6" ht="23.85" customHeight="1" s="10">
      <c r="A6" s="18" t="inlineStr">
        <is>
          <t>UAT-05</t>
        </is>
      </c>
      <c r="B6" s="18" t="inlineStr">
        <is>
          <t>BR-05</t>
        </is>
      </c>
      <c r="C6" s="18" t="inlineStr">
        <is>
          <t>a returning visitor</t>
        </is>
      </c>
      <c r="D6" s="18" t="inlineStr">
        <is>
          <t>the Spin &amp; Win prompt opens</t>
        </is>
      </c>
      <c r="E6" s="18" t="inlineStr">
        <is>
          <t>it can be closed and does not overlap the assistant</t>
        </is>
      </c>
      <c r="F6" s="18" t="inlineStr">
        <is>
          <t>Released</t>
        </is>
      </c>
    </row>
    <row r="7">
      <c r="A7" s="18" t="inlineStr">
        <is>
          <t>UAT-06</t>
        </is>
      </c>
      <c r="B7" s="18" t="inlineStr">
        <is>
          <t>BR-06</t>
        </is>
      </c>
      <c r="C7" s="18" t="inlineStr">
        <is>
          <t>a first-time visitor</t>
        </is>
      </c>
      <c r="D7" s="18" t="inlineStr">
        <is>
          <t>they have not accepted cookies</t>
        </is>
      </c>
      <c r="E7" s="18" t="inlineStr">
        <is>
          <t>no GA4 or Meta request is sent</t>
        </is>
      </c>
      <c r="F7" s="18" t="inlineStr">
        <is>
          <t>Released</t>
        </is>
      </c>
    </row>
    <row r="8">
      <c r="A8" s="18" t="inlineStr">
        <is>
          <t>UAT-07</t>
        </is>
      </c>
      <c r="B8" s="18" t="inlineStr">
        <is>
          <t>BR-07</t>
        </is>
      </c>
      <c r="C8" s="18" t="inlineStr">
        <is>
          <t>an article that breaches policy</t>
        </is>
      </c>
      <c r="D8" s="18" t="inlineStr">
        <is>
          <t>it is reviewed</t>
        </is>
      </c>
      <c r="E8" s="18" t="inlineStr">
        <is>
          <t>it is withdrawn before or after publishing</t>
        </is>
      </c>
      <c r="F8" s="18" t="inlineStr">
        <is>
          <t>Released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9" min="1" max="2"/>
    <col width="26" customWidth="1" style="9" min="3" max="3"/>
    <col width="16" customWidth="1" style="9" min="4" max="4"/>
    <col width="22" customWidth="1" style="9" min="5" max="5"/>
    <col width="16" customWidth="1" style="9" min="6" max="6"/>
  </cols>
  <sheetData>
    <row r="1" ht="26.85" customHeight="1" s="10">
      <c r="A1" s="17" t="inlineStr">
        <is>
          <t>Requirement</t>
        </is>
      </c>
      <c r="B1" s="17" t="inlineStr">
        <is>
          <t>Objective ID</t>
        </is>
      </c>
      <c r="C1" s="17" t="inlineStr">
        <is>
          <t>Functional requirements</t>
        </is>
      </c>
      <c r="D1" s="17" t="inlineStr">
        <is>
          <t>User stories</t>
        </is>
      </c>
      <c r="E1" s="17" t="inlineStr">
        <is>
          <t>Test IDs</t>
        </is>
      </c>
      <c r="F1" s="17" t="inlineStr">
        <is>
          <t>Number of tests</t>
        </is>
      </c>
    </row>
    <row r="2" ht="15" customHeight="1" s="10">
      <c r="A2" s="18" t="inlineStr">
        <is>
          <t>BR-01</t>
        </is>
      </c>
      <c r="B2" s="18">
        <f>IFERROR(INDEX(Requirements!$D:$D,MATCH(A2,Requirements!$A:$A,0)),"")</f>
        <v/>
      </c>
      <c r="C2" s="18" t="inlineStr">
        <is>
          <t>FR-01</t>
        </is>
      </c>
      <c r="D2" s="18" t="inlineStr">
        <is>
          <t>US-01</t>
        </is>
      </c>
      <c r="E2" s="18" t="inlineStr">
        <is>
          <t>UAT-01</t>
        </is>
      </c>
      <c r="F2" s="18">
        <f>COUNTIF(UAT!$B:$B,A2)</f>
        <v/>
      </c>
    </row>
    <row r="3" ht="15" customHeight="1" s="10">
      <c r="A3" s="18" t="inlineStr">
        <is>
          <t>BR-02</t>
        </is>
      </c>
      <c r="B3" s="18">
        <f>IFERROR(INDEX(Requirements!$D:$D,MATCH(A3,Requirements!$A:$A,0)),"")</f>
        <v/>
      </c>
      <c r="C3" s="18" t="inlineStr">
        <is>
          <t>FR-02</t>
        </is>
      </c>
      <c r="D3" s="18" t="inlineStr">
        <is>
          <t>US-03</t>
        </is>
      </c>
      <c r="E3" s="18" t="inlineStr">
        <is>
          <t>UAT-02</t>
        </is>
      </c>
      <c r="F3" s="18">
        <f>COUNTIF(UAT!$B:$B,A3)</f>
        <v/>
      </c>
    </row>
    <row r="4" ht="15" customHeight="1" s="10">
      <c r="A4" s="18" t="inlineStr">
        <is>
          <t>BR-03</t>
        </is>
      </c>
      <c r="B4" s="18">
        <f>IFERROR(INDEX(Requirements!$D:$D,MATCH(A4,Requirements!$A:$A,0)),"")</f>
        <v/>
      </c>
      <c r="C4" s="18" t="inlineStr">
        <is>
          <t>FR-03, FR-04</t>
        </is>
      </c>
      <c r="D4" s="18" t="inlineStr">
        <is>
          <t>US-02</t>
        </is>
      </c>
      <c r="E4" s="18" t="inlineStr">
        <is>
          <t>UAT-03</t>
        </is>
      </c>
      <c r="F4" s="18">
        <f>COUNTIF(UAT!$B:$B,A4)</f>
        <v/>
      </c>
    </row>
    <row r="5" ht="15" customHeight="1" s="10">
      <c r="A5" s="18" t="inlineStr">
        <is>
          <t>BR-04</t>
        </is>
      </c>
      <c r="B5" s="18">
        <f>IFERROR(INDEX(Requirements!$D:$D,MATCH(A5,Requirements!$A:$A,0)),"")</f>
        <v/>
      </c>
      <c r="C5" s="18" t="inlineStr">
        <is>
          <t>FR-05, FR-06</t>
        </is>
      </c>
      <c r="D5" s="18" t="inlineStr">
        <is>
          <t>None</t>
        </is>
      </c>
      <c r="E5" s="18" t="inlineStr">
        <is>
          <t>UAT-04</t>
        </is>
      </c>
      <c r="F5" s="18">
        <f>COUNTIF(UAT!$B:$B,A5)</f>
        <v/>
      </c>
    </row>
    <row r="6" ht="15" customHeight="1" s="10">
      <c r="A6" s="18" t="inlineStr">
        <is>
          <t>BR-05</t>
        </is>
      </c>
      <c r="B6" s="18">
        <f>IFERROR(INDEX(Requirements!$D:$D,MATCH(A6,Requirements!$A:$A,0)),"")</f>
        <v/>
      </c>
      <c r="C6" s="18" t="inlineStr">
        <is>
          <t>FR-07</t>
        </is>
      </c>
      <c r="D6" s="18" t="inlineStr">
        <is>
          <t>None</t>
        </is>
      </c>
      <c r="E6" s="18" t="inlineStr">
        <is>
          <t>UAT-05</t>
        </is>
      </c>
      <c r="F6" s="18">
        <f>COUNTIF(UAT!$B:$B,A6)</f>
        <v/>
      </c>
    </row>
    <row r="7">
      <c r="A7" s="18" t="inlineStr">
        <is>
          <t>BR-06</t>
        </is>
      </c>
      <c r="B7" s="18">
        <f>IFERROR(INDEX(Requirements!$D:$D,MATCH(A7,Requirements!$A:$A,0)),"")</f>
        <v/>
      </c>
      <c r="C7" s="18" t="inlineStr">
        <is>
          <t>FR-08</t>
        </is>
      </c>
      <c r="D7" s="18" t="inlineStr">
        <is>
          <t>None</t>
        </is>
      </c>
      <c r="E7" s="18" t="inlineStr">
        <is>
          <t>UAT-06</t>
        </is>
      </c>
      <c r="F7" s="18">
        <f>COUNTIF(UAT!$B:$B,A7)</f>
        <v/>
      </c>
    </row>
    <row r="8">
      <c r="A8" s="18" t="inlineStr">
        <is>
          <t>BR-07</t>
        </is>
      </c>
      <c r="B8" s="18">
        <f>IFERROR(INDEX(Requirements!$D:$D,MATCH(A8,Requirements!$A:$A,0)),"")</f>
        <v/>
      </c>
      <c r="C8" s="18" t="inlineStr">
        <is>
          <t>None</t>
        </is>
      </c>
      <c r="D8" s="18" t="inlineStr">
        <is>
          <t>None</t>
        </is>
      </c>
      <c r="E8" s="18" t="inlineStr">
        <is>
          <t>UAT-07</t>
        </is>
      </c>
      <c r="F8" s="18">
        <f>COUNTIF(UAT!$B:$B,A8)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9" min="1" max="1"/>
    <col width="12" customWidth="1" style="9" min="2" max="2"/>
    <col width="38" customWidth="1" style="9" min="3" max="3"/>
    <col width="45" customWidth="1" style="9" min="4" max="4"/>
  </cols>
  <sheetData>
    <row r="1" ht="15" customHeight="1" s="10">
      <c r="A1" s="17" t="inlineStr">
        <is>
          <t>Field</t>
        </is>
      </c>
      <c r="B1" s="17" t="inlineStr">
        <is>
          <t>Type</t>
        </is>
      </c>
      <c r="C1" s="17" t="inlineStr">
        <is>
          <t>Definition</t>
        </is>
      </c>
      <c r="D1" s="17" t="inlineStr">
        <is>
          <t>Allowed values</t>
        </is>
      </c>
    </row>
    <row r="2" ht="15" customHeight="1" s="10">
      <c r="A2" s="18" t="inlineStr">
        <is>
          <t>event</t>
        </is>
      </c>
      <c r="B2" s="18" t="inlineStr">
        <is>
          <t>Text</t>
        </is>
      </c>
      <c r="C2" s="18" t="inlineStr">
        <is>
          <t>Name of the tracked interaction</t>
        </is>
      </c>
      <c r="D2" s="18" t="inlineStr">
        <is>
          <t>whatsapp_click, page_view, chat_open</t>
        </is>
      </c>
    </row>
    <row r="3" ht="15" customHeight="1" s="10">
      <c r="A3" s="18" t="inlineStr">
        <is>
          <t>label</t>
        </is>
      </c>
      <c r="B3" s="18" t="inlineStr">
        <is>
          <t>Text</t>
        </is>
      </c>
      <c r="C3" s="18" t="inlineStr">
        <is>
          <t>Which button or element</t>
        </is>
      </c>
      <c r="D3" s="18" t="inlineStr">
        <is>
          <t>Free text set by the page</t>
        </is>
      </c>
    </row>
    <row r="4" ht="15" customHeight="1" s="10">
      <c r="A4" s="18" t="inlineStr">
        <is>
          <t>path</t>
        </is>
      </c>
      <c r="B4" s="18" t="inlineStr">
        <is>
          <t>Text</t>
        </is>
      </c>
      <c r="C4" s="18" t="inlineStr">
        <is>
          <t>Page where it happened</t>
        </is>
      </c>
      <c r="D4" s="18" t="inlineStr">
        <is>
          <t>Site URL path</t>
        </is>
      </c>
    </row>
    <row r="5" ht="15" customHeight="1" s="10">
      <c r="A5" s="18" t="inlineStr">
        <is>
          <t>referrer</t>
        </is>
      </c>
      <c r="B5" s="18" t="inlineStr">
        <is>
          <t>Text</t>
        </is>
      </c>
      <c r="C5" s="18" t="inlineStr">
        <is>
          <t>Where the visitor came from</t>
        </is>
      </c>
      <c r="D5" s="18" t="inlineStr">
        <is>
          <t>URL or empty</t>
        </is>
      </c>
    </row>
    <row r="6" ht="15" customHeight="1" s="10">
      <c r="A6" s="18" t="inlineStr">
        <is>
          <t>session_id</t>
        </is>
      </c>
      <c r="B6" s="18" t="inlineStr">
        <is>
          <t>Text</t>
        </is>
      </c>
      <c r="C6" s="18" t="inlineStr">
        <is>
          <t>Anonymous visit identifier</t>
        </is>
      </c>
      <c r="D6" s="18" t="inlineStr">
        <is>
          <t>Random ID, no personal data</t>
        </is>
      </c>
    </row>
    <row r="7" ht="15" customHeight="1" s="10">
      <c r="A7" s="18" t="inlineStr">
        <is>
          <t>created_at</t>
        </is>
      </c>
      <c r="B7" s="18" t="inlineStr">
        <is>
          <t>Datetime</t>
        </is>
      </c>
      <c r="C7" s="18" t="inlineStr">
        <is>
          <t>When it happened</t>
        </is>
      </c>
      <c r="D7" s="18" t="inlineStr">
        <is>
          <t>ISO 8601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2026-09-25T01:59:52Z</dcterms:created>
  <dcterms:modified xmlns:dcterms="http://purl.org/dc/terms/" xmlns:xsi="http://www.w3.org/2001/XMLSchema-instance" xsi:type="dcterms:W3CDTF">2026-09-25T02:53:10Z</dcterms:modified>
  <cp:revision>0</cp:revision>
</cp:coreProperties>
</file>