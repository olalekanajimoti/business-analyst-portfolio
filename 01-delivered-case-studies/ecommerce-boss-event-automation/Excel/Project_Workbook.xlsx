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Objectives" sheetId="2" state="visible" r:id="rId2"/>
    <sheet xmlns:r="http://schemas.openxmlformats.org/officeDocument/2006/relationships" name="Requirements" sheetId="3" state="visible" r:id="rId3"/>
    <sheet xmlns:r="http://schemas.openxmlformats.org/officeDocument/2006/relationships" name="Functional" sheetId="4" state="visible" r:id="rId4"/>
    <sheet xmlns:r="http://schemas.openxmlformats.org/officeDocument/2006/relationships" name="User Stories" sheetId="5" state="visible" r:id="rId5"/>
    <sheet xmlns:r="http://schemas.openxmlformats.org/officeDocument/2006/relationships" name="Stakeholders" sheetId="6" state="visible" r:id="rId6"/>
    <sheet xmlns:r="http://schemas.openxmlformats.org/officeDocument/2006/relationships" name="RAID" sheetId="7" state="visible" r:id="rId7"/>
    <sheet xmlns:r="http://schemas.openxmlformats.org/officeDocument/2006/relationships" name="UAT" sheetId="8" state="visible" r:id="rId8"/>
    <sheet xmlns:r="http://schemas.openxmlformats.org/officeDocument/2006/relationships" name="Traceability" sheetId="9" state="visible" r:id="rId9"/>
    <sheet xmlns:r="http://schemas.openxmlformats.org/officeDocument/2006/relationships" name="Data Dictionary" sheetId="10" state="visible" r:id="rId10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5253D"/>
      <sz val="14"/>
    </font>
    <font>
      <name val="Arial"/>
      <charset val="1"/>
      <family val="0"/>
      <b val="1"/>
      <sz val="11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i val="1"/>
      <color rgb="FF64748B"/>
      <sz val="11"/>
    </font>
  </fonts>
  <fills count="3">
    <fill>
      <patternFill/>
    </fill>
    <fill>
      <patternFill patternType="gray125"/>
    </fill>
    <fill>
      <patternFill patternType="solid">
        <fgColor rgb="FF15253D"/>
        <bgColor rgb="FF003366"/>
      </patternFill>
    </fill>
  </fills>
  <borders count="2">
    <border>
      <left/>
      <right/>
      <top/>
      <bottom/>
      <diagonal/>
    </border>
    <border>
      <left style="thin">
        <color rgb="FFD5DDE8"/>
      </left>
      <right style="thin">
        <color rgb="FFD5DDE8"/>
      </right>
      <top style="thin">
        <color rgb="FFD5DDE8"/>
      </top>
      <bottom style="thin">
        <color rgb="FFD5DDE8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5DD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4748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5253D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9" min="1" max="1"/>
    <col width="80" customWidth="1" style="9" min="2" max="2"/>
    <col width="16" customWidth="1" style="9" min="3" max="3"/>
  </cols>
  <sheetData>
    <row r="1" ht="17.35" customHeight="1" s="10">
      <c r="A1" s="11" t="inlineStr">
        <is>
          <t>The Ecommerce Boss Event Operations Automation</t>
        </is>
      </c>
    </row>
    <row r="2"/>
    <row r="3" ht="15" customHeight="1" s="10">
      <c r="A3" s="12" t="inlineStr">
        <is>
          <t>Status</t>
        </is>
      </c>
      <c r="B3" s="13" t="inlineStr">
        <is>
          <t>Delivered across client engagements</t>
        </is>
      </c>
    </row>
    <row r="4" ht="15" customHeight="1" s="10">
      <c r="A4" s="12" t="inlineStr">
        <is>
          <t>Domain</t>
        </is>
      </c>
      <c r="B4" s="13" t="inlineStr">
        <is>
          <t>E-commerce, events and digital services</t>
        </is>
      </c>
    </row>
    <row r="5" ht="15" customHeight="1" s="10">
      <c r="A5" s="12" t="inlineStr">
        <is>
          <t>Role</t>
        </is>
      </c>
      <c r="B5" s="13" t="inlineStr">
        <is>
          <t>Business Analyst</t>
        </is>
      </c>
    </row>
    <row r="6" ht="23.85" customHeight="1" s="10">
      <c r="A6" s="12" t="inlineStr">
        <is>
          <t>Business problem</t>
        </is>
      </c>
      <c r="B6" s="13" t="inlineStr">
        <is>
          <t>Disconnected forms, spreadsheets and email exchanges caused duplicate entry, unclear ownership, inconsistent hand-offs and limited status visibility for client events.</t>
        </is>
      </c>
    </row>
    <row r="7"/>
    <row r="8"/>
    <row r="9" ht="15" customHeight="1" s="10">
      <c r="A9" s="14" t="inlineStr">
        <is>
          <t>Measure</t>
        </is>
      </c>
      <c r="B9" s="14" t="inlineStr">
        <is>
          <t>Value</t>
        </is>
      </c>
      <c r="C9" s="14" t="inlineStr">
        <is>
          <t>Source</t>
        </is>
      </c>
    </row>
    <row r="10" ht="15" customHeight="1" s="10">
      <c r="A10" s="15" t="inlineStr">
        <is>
          <t>Business requirements</t>
        </is>
      </c>
      <c r="B10" s="15">
        <f>COUNTA(Requirements!A2:A200)</f>
        <v/>
      </c>
      <c r="C10" s="15" t="inlineStr">
        <is>
          <t>Requirements</t>
        </is>
      </c>
    </row>
    <row r="11" ht="15" customHeight="1" s="10">
      <c r="A11" s="15" t="inlineStr">
        <is>
          <t>Must requirements</t>
        </is>
      </c>
      <c r="B11" s="15">
        <f>COUNTIF(Requirements!C2:C200,"Must")</f>
        <v/>
      </c>
      <c r="C11" s="15" t="inlineStr">
        <is>
          <t>Requirements</t>
        </is>
      </c>
    </row>
    <row r="12" ht="15" customHeight="1" s="10">
      <c r="A12" s="15" t="inlineStr">
        <is>
          <t>Should requirements</t>
        </is>
      </c>
      <c r="B12" s="15">
        <f>COUNTIF(Requirements!C2:C200,"Should")</f>
        <v/>
      </c>
      <c r="C12" s="15" t="inlineStr">
        <is>
          <t>Requirements</t>
        </is>
      </c>
    </row>
    <row r="13" ht="15" customHeight="1" s="10">
      <c r="A13" s="15" t="inlineStr">
        <is>
          <t>Functional requirements</t>
        </is>
      </c>
      <c r="B13" s="15">
        <f>COUNTA(Functional!A2:A200)</f>
        <v/>
      </c>
      <c r="C13" s="15" t="inlineStr">
        <is>
          <t>Functional</t>
        </is>
      </c>
    </row>
    <row r="14" ht="15" customHeight="1" s="10">
      <c r="A14" s="15" t="inlineStr">
        <is>
          <t>Requirements with a test</t>
        </is>
      </c>
      <c r="B14" s="15">
        <f>COUNTIF(Traceability!F2:F200,"&gt;0")</f>
        <v/>
      </c>
      <c r="C14" s="15" t="inlineStr">
        <is>
          <t>Traceability</t>
        </is>
      </c>
    </row>
    <row r="15" ht="15" customHeight="1" s="10">
      <c r="A15" s="15" t="inlineStr">
        <is>
          <t>Tests with status "Passed"</t>
        </is>
      </c>
      <c r="B15" s="15">
        <f>COUNTIF(UAT!F2:F200,"Passed")</f>
        <v/>
      </c>
      <c r="C15" s="15" t="inlineStr">
        <is>
          <t>UAT</t>
        </is>
      </c>
    </row>
    <row r="16" ht="15" customHeight="1" s="10">
      <c r="A16" s="15" t="inlineStr">
        <is>
          <t>High risks</t>
        </is>
      </c>
      <c r="B16" s="15">
        <f>COUNTIF(RAID!C2:C200,"High")</f>
        <v/>
      </c>
      <c r="C16" s="15" t="inlineStr">
        <is>
          <t>RAID</t>
        </is>
      </c>
    </row>
    <row r="17" ht="15" customHeight="1" s="10">
      <c r="A17" s="15" t="inlineStr">
        <is>
          <t>Stakeholder groups</t>
        </is>
      </c>
      <c r="B17" s="15">
        <f>COUNTA(Stakeholders!A2:A200)</f>
        <v/>
      </c>
      <c r="C17" s="15" t="inlineStr">
        <is>
          <t>Stakeholders</t>
        </is>
      </c>
    </row>
    <row r="18"/>
    <row r="19" ht="15" customHeight="1" s="10">
      <c r="A19" s="16" t="inlineStr">
        <is>
          <t>Counts are formulas and update when rows are added. Status values are recorded on the UAT sheet.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9" min="1" max="1"/>
    <col width="70" customWidth="1" style="9" min="2" max="2"/>
  </cols>
  <sheetData>
    <row r="1" ht="15" customHeight="1" s="10">
      <c r="A1" s="17" t="inlineStr">
        <is>
          <t>Objective ID</t>
        </is>
      </c>
      <c r="B1" s="17" t="inlineStr">
        <is>
          <t>Objective</t>
        </is>
      </c>
    </row>
    <row r="2" ht="15" customHeight="1" s="10">
      <c r="A2" s="18" t="inlineStr">
        <is>
          <t>OBJ-01</t>
        </is>
      </c>
      <c r="B2" s="18" t="inlineStr">
        <is>
          <t>Create one central operational record</t>
        </is>
      </c>
    </row>
    <row r="3" ht="15" customHeight="1" s="10">
      <c r="A3" s="18" t="inlineStr">
        <is>
          <t>OBJ-02</t>
        </is>
      </c>
      <c r="B3" s="18" t="inlineStr">
        <is>
          <t>Automate repeat communications</t>
        </is>
      </c>
    </row>
    <row r="4" ht="15" customHeight="1" s="10">
      <c r="A4" s="18" t="inlineStr">
        <is>
          <t>OBJ-03</t>
        </is>
      </c>
      <c r="B4" s="18" t="inlineStr">
        <is>
          <t>Make ownership and exceptions visible</t>
        </is>
      </c>
    </row>
    <row r="5" ht="15" customHeight="1" s="10">
      <c r="A5" s="18" t="inlineStr">
        <is>
          <t>OBJ-04</t>
        </is>
      </c>
      <c r="B5" s="18" t="inlineStr">
        <is>
          <t>Select tools proportionate to client capacity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55" customWidth="1" style="9" min="2" max="2"/>
    <col width="10" customWidth="1" style="9" min="3" max="3"/>
    <col width="13" customWidth="1" style="9" min="4" max="4"/>
    <col width="40" customWidth="1" style="9" min="5" max="5"/>
    <col width="55" customWidth="1" style="9" min="6" max="6"/>
  </cols>
  <sheetData>
    <row r="1" ht="15" customHeight="1" s="10">
      <c r="A1" s="17" t="inlineStr">
        <is>
          <t>ID</t>
        </is>
      </c>
      <c r="B1" s="17" t="inlineStr">
        <is>
          <t>Requirement</t>
        </is>
      </c>
      <c r="C1" s="17" t="inlineStr">
        <is>
          <t>Priority</t>
        </is>
      </c>
      <c r="D1" s="17" t="inlineStr">
        <is>
          <t>Objective ID</t>
        </is>
      </c>
      <c r="E1" s="17" t="inlineStr">
        <is>
          <t>Objective</t>
        </is>
      </c>
      <c r="F1" s="17" t="inlineStr">
        <is>
          <t>Acceptance criterion</t>
        </is>
      </c>
    </row>
    <row r="2" ht="15" customHeight="1" s="10">
      <c r="A2" s="18" t="inlineStr">
        <is>
          <t>BR-01</t>
        </is>
      </c>
      <c r="B2" s="18" t="inlineStr">
        <is>
          <t>Submissions create one central record</t>
        </is>
      </c>
      <c r="C2" s="18" t="inlineStr">
        <is>
          <t>Must</t>
        </is>
      </c>
      <c r="D2" s="18" t="inlineStr">
        <is>
          <t>OBJ-01</t>
        </is>
      </c>
      <c r="E2" s="18">
        <f>IFERROR(INDEX(Objectives!$B:$B,MATCH(D2,Objectives!$A:$A,0)),"Check objective ID")</f>
        <v/>
      </c>
      <c r="F2" s="18" t="inlineStr">
        <is>
          <t>No manual re-entry; each submission has a unique ID</t>
        </is>
      </c>
    </row>
    <row r="3" ht="15" customHeight="1" s="10">
      <c r="A3" s="18" t="inlineStr">
        <is>
          <t>BR-02</t>
        </is>
      </c>
      <c r="B3" s="18" t="inlineStr">
        <is>
          <t>Approved decisions trigger consistent communication</t>
        </is>
      </c>
      <c r="C3" s="18" t="inlineStr">
        <is>
          <t>Must</t>
        </is>
      </c>
      <c r="D3" s="18" t="inlineStr">
        <is>
          <t>OBJ-02</t>
        </is>
      </c>
      <c r="E3" s="18">
        <f>IFERROR(INDEX(Objectives!$B:$B,MATCH(D3,Objectives!$A:$A,0)),"Check objective ID")</f>
        <v/>
      </c>
      <c r="F3" s="18" t="inlineStr">
        <is>
          <t>Message is sent and record status updates together</t>
        </is>
      </c>
    </row>
    <row r="4" ht="15" customHeight="1" s="10">
      <c r="A4" s="18" t="inlineStr">
        <is>
          <t>BR-03</t>
        </is>
      </c>
      <c r="B4" s="18" t="inlineStr">
        <is>
          <t>Ownership and status are visible for every record</t>
        </is>
      </c>
      <c r="C4" s="18" t="inlineStr">
        <is>
          <t>Must</t>
        </is>
      </c>
      <c r="D4" s="18" t="inlineStr">
        <is>
          <t>OBJ-03</t>
        </is>
      </c>
      <c r="E4" s="18">
        <f>IFERROR(INDEX(Objectives!$B:$B,MATCH(D4,Objectives!$A:$A,0)),"Check objective ID")</f>
        <v/>
      </c>
      <c r="F4" s="18" t="inlineStr">
        <is>
          <t>Every active record has an owner and a state</t>
        </is>
      </c>
    </row>
    <row r="5" ht="15" customHeight="1" s="10">
      <c r="A5" s="18" t="inlineStr">
        <is>
          <t>BR-04</t>
        </is>
      </c>
      <c r="B5" s="18" t="inlineStr">
        <is>
          <t>Failed automations are visible and recoverable</t>
        </is>
      </c>
      <c r="C5" s="18" t="inlineStr">
        <is>
          <t>Should</t>
        </is>
      </c>
      <c r="D5" s="18" t="inlineStr">
        <is>
          <t>OBJ-03</t>
        </is>
      </c>
      <c r="E5" s="18">
        <f>IFERROR(INDEX(Objectives!$B:$B,MATCH(D5,Objectives!$A:$A,0)),"Check objective ID")</f>
        <v/>
      </c>
      <c r="F5" s="18" t="inlineStr">
        <is>
          <t>Failures enter an exception queue with a reason</t>
        </is>
      </c>
    </row>
    <row r="6" ht="15" customHeight="1" s="10">
      <c r="A6" s="18" t="inlineStr">
        <is>
          <t>BR-05</t>
        </is>
      </c>
      <c r="B6" s="18" t="inlineStr">
        <is>
          <t>Solution option matches client operating capacity</t>
        </is>
      </c>
      <c r="C6" s="18" t="inlineStr">
        <is>
          <t>Should</t>
        </is>
      </c>
      <c r="D6" s="18" t="inlineStr">
        <is>
          <t>OBJ-04</t>
        </is>
      </c>
      <c r="E6" s="18">
        <f>IFERROR(INDEX(Objectives!$B:$B,MATCH(D6,Objectives!$A:$A,0)),"Check objective ID")</f>
        <v/>
      </c>
      <c r="F6" s="18" t="inlineStr">
        <is>
          <t>Option assessment records cost, feasibility and admin effort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9" customWidth="1" style="9" min="1" max="1"/>
    <col width="11" customWidth="1" style="9" min="2" max="2"/>
    <col width="60" customWidth="1" style="9" min="3" max="3"/>
    <col width="55" customWidth="1" style="9" min="4" max="4"/>
  </cols>
  <sheetData>
    <row r="1" ht="15" customHeight="1" s="10">
      <c r="A1" s="17" t="inlineStr">
        <is>
          <t>ID</t>
        </is>
      </c>
      <c r="B1" s="17" t="inlineStr">
        <is>
          <t>Parent BR</t>
        </is>
      </c>
      <c r="C1" s="17" t="inlineStr">
        <is>
          <t>System behaviour</t>
        </is>
      </c>
      <c r="D1" s="17" t="inlineStr">
        <is>
          <t>Business rule or validation</t>
        </is>
      </c>
    </row>
    <row r="2" ht="15" customHeight="1" s="10">
      <c r="A2" s="18" t="inlineStr">
        <is>
          <t>FR-01</t>
        </is>
      </c>
      <c r="B2" s="18" t="inlineStr">
        <is>
          <t>BR-01</t>
        </is>
      </c>
      <c r="C2" s="18" t="inlineStr">
        <is>
          <t>Form submission creates an Airtable record with a unique ID</t>
        </is>
      </c>
      <c r="D2" s="18" t="inlineStr">
        <is>
          <t>Duplicate email and event combination is flagged</t>
        </is>
      </c>
    </row>
    <row r="3" ht="15" customHeight="1" s="10">
      <c r="A3" s="18" t="inlineStr">
        <is>
          <t>FR-02</t>
        </is>
      </c>
      <c r="B3" s="18" t="inlineStr">
        <is>
          <t>BR-02</t>
        </is>
      </c>
      <c r="C3" s="18" t="inlineStr">
        <is>
          <t>Status change to Approved triggers the approved template</t>
        </is>
      </c>
      <c r="D3" s="18" t="inlineStr">
        <is>
          <t>Template choice depends on record type</t>
        </is>
      </c>
    </row>
    <row r="4" ht="15" customHeight="1" s="10">
      <c r="A4" s="18" t="inlineStr">
        <is>
          <t>FR-03</t>
        </is>
      </c>
      <c r="B4" s="18" t="inlineStr">
        <is>
          <t>BR-03</t>
        </is>
      </c>
      <c r="C4" s="18" t="inlineStr">
        <is>
          <t>Record view shows owner, status and next action</t>
        </is>
      </c>
      <c r="D4" s="18" t="inlineStr">
        <is>
          <t>Records without owner appear in an unassigned view</t>
        </is>
      </c>
    </row>
    <row r="5" ht="15" customHeight="1" s="10">
      <c r="A5" s="18" t="inlineStr">
        <is>
          <t>FR-04</t>
        </is>
      </c>
      <c r="B5" s="18" t="inlineStr">
        <is>
          <t>BR-04</t>
        </is>
      </c>
      <c r="C5" s="18" t="inlineStr">
        <is>
          <t>Automation errors write to an exception table with reason and time</t>
        </is>
      </c>
      <c r="D5" s="18" t="inlineStr">
        <is>
          <t>Exceptions older than 48 hours are highlighted</t>
        </is>
      </c>
    </row>
    <row r="6" ht="15" customHeight="1" s="10">
      <c r="A6" s="18" t="inlineStr">
        <is>
          <t>FR-05</t>
        </is>
      </c>
      <c r="B6" s="18" t="inlineStr">
        <is>
          <t>BR-05</t>
        </is>
      </c>
      <c r="C6" s="18" t="inlineStr">
        <is>
          <t>Options matrix scores manual, plug-in and automated approaches</t>
        </is>
      </c>
      <c r="D6" s="18" t="inlineStr">
        <is>
          <t>Scored on cost, feasibility, data quality and admin effort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10" customWidth="1" style="9" min="2" max="2"/>
    <col width="22" customWidth="1" style="9" min="3" max="3"/>
    <col width="35" customWidth="1" style="9" min="4" max="5"/>
    <col width="30" customWidth="1" style="9" min="6" max="6"/>
    <col width="28" customWidth="1" style="9" min="7" max="7"/>
    <col width="40" customWidth="1" style="9" min="8" max="8"/>
  </cols>
  <sheetData>
    <row r="1" ht="26.85" customHeight="1" s="10">
      <c r="A1" s="17" t="inlineStr">
        <is>
          <t>ID</t>
        </is>
      </c>
      <c r="B1" s="17" t="inlineStr">
        <is>
          <t>Parent BR</t>
        </is>
      </c>
      <c r="C1" s="17" t="inlineStr">
        <is>
          <t>As a</t>
        </is>
      </c>
      <c r="D1" s="17" t="inlineStr">
        <is>
          <t>I want</t>
        </is>
      </c>
      <c r="E1" s="17" t="inlineStr">
        <is>
          <t>So that</t>
        </is>
      </c>
      <c r="F1" s="17" t="inlineStr">
        <is>
          <t>Given</t>
        </is>
      </c>
      <c r="G1" s="17" t="inlineStr">
        <is>
          <t>When</t>
        </is>
      </c>
      <c r="H1" s="17" t="inlineStr">
        <is>
          <t>Then</t>
        </is>
      </c>
    </row>
    <row r="2" ht="23.85" customHeight="1" s="10">
      <c r="A2" s="18" t="inlineStr">
        <is>
          <t>US-01</t>
        </is>
      </c>
      <c r="B2" s="18" t="inlineStr">
        <is>
          <t>BR-01</t>
        </is>
      </c>
      <c r="C2" s="18" t="inlineStr">
        <is>
          <t>event operations assistant</t>
        </is>
      </c>
      <c r="D2" s="18" t="inlineStr">
        <is>
          <t>submissions to arrive as records automatically</t>
        </is>
      </c>
      <c r="E2" s="18" t="inlineStr">
        <is>
          <t>I stop copying data between tools</t>
        </is>
      </c>
      <c r="F2" s="18" t="inlineStr">
        <is>
          <t>an applicant submits the form</t>
        </is>
      </c>
      <c r="G2" s="18" t="inlineStr">
        <is>
          <t>the submission is received</t>
        </is>
      </c>
      <c r="H2" s="18" t="inlineStr">
        <is>
          <t>one record with a unique ID is created</t>
        </is>
      </c>
    </row>
    <row r="3" ht="23.85" customHeight="1" s="10">
      <c r="A3" s="18" t="inlineStr">
        <is>
          <t>US-02</t>
        </is>
      </c>
      <c r="B3" s="18" t="inlineStr">
        <is>
          <t>BR-04</t>
        </is>
      </c>
      <c r="C3" s="18" t="inlineStr">
        <is>
          <t>client lead</t>
        </is>
      </c>
      <c r="D3" s="18" t="inlineStr">
        <is>
          <t>to see failed messages in one place</t>
        </is>
      </c>
      <c r="E3" s="18" t="inlineStr">
        <is>
          <t>no applicant is left without a reply</t>
        </is>
      </c>
      <c r="F3" s="18" t="inlineStr">
        <is>
          <t>an email step fails</t>
        </is>
      </c>
      <c r="G3" s="18" t="inlineStr">
        <is>
          <t>the automation runs</t>
        </is>
      </c>
      <c r="H3" s="18" t="inlineStr">
        <is>
          <t>the record appears in the exception queue with the reason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H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6" customWidth="1" style="9" min="1" max="1"/>
    <col width="11" customWidth="1" style="9" min="2" max="2"/>
    <col width="10" customWidth="1" style="9" min="3" max="3"/>
    <col width="32" customWidth="1" style="9" min="4" max="6"/>
    <col width="22" customWidth="1" style="9" min="7" max="7"/>
    <col width="16" customWidth="1" style="9" min="8" max="8"/>
  </cols>
  <sheetData>
    <row r="1" ht="15" customHeight="1" s="10">
      <c r="A1" s="17" t="inlineStr">
        <is>
          <t>Stakeholder</t>
        </is>
      </c>
      <c r="B1" s="17" t="inlineStr">
        <is>
          <t>Influence</t>
        </is>
      </c>
      <c r="C1" s="17" t="inlineStr">
        <is>
          <t>Interest</t>
        </is>
      </c>
      <c r="D1" s="17" t="inlineStr">
        <is>
          <t>Primary interest</t>
        </is>
      </c>
      <c r="E1" s="17" t="inlineStr">
        <is>
          <t>Information need</t>
        </is>
      </c>
      <c r="F1" s="17" t="inlineStr">
        <is>
          <t>Method</t>
        </is>
      </c>
      <c r="G1" s="17" t="inlineStr">
        <is>
          <t>Cadence</t>
        </is>
      </c>
      <c r="H1" s="17" t="inlineStr">
        <is>
          <t>Approach</t>
        </is>
      </c>
    </row>
    <row r="2" ht="15" customHeight="1" s="10">
      <c r="A2" s="18" t="inlineStr">
        <is>
          <t>Event or client lead</t>
        </is>
      </c>
      <c r="B2" s="18" t="inlineStr">
        <is>
          <t>High</t>
        </is>
      </c>
      <c r="C2" s="18" t="inlineStr">
        <is>
          <t>High</t>
        </is>
      </c>
      <c r="D2" s="18" t="inlineStr">
        <is>
          <t>Cost, control and status</t>
        </is>
      </c>
      <c r="E2" s="18" t="inlineStr">
        <is>
          <t>Status, exceptions, costs</t>
        </is>
      </c>
      <c r="F2" s="18" t="inlineStr">
        <is>
          <t>Status review and options paper</t>
        </is>
      </c>
      <c r="G2" s="18" t="inlineStr">
        <is>
          <t>Weekly</t>
        </is>
      </c>
      <c r="H2" s="18" t="inlineStr">
        <is>
          <t>Manage closely</t>
        </is>
      </c>
    </row>
    <row r="3" ht="23.85" customHeight="1" s="10">
      <c r="A3" s="18" t="inlineStr">
        <is>
          <t>Operations team</t>
        </is>
      </c>
      <c r="B3" s="18" t="inlineStr">
        <is>
          <t>Medium</t>
        </is>
      </c>
      <c r="C3" s="18" t="inlineStr">
        <is>
          <t>High</t>
        </is>
      </c>
      <c r="D3" s="18" t="inlineStr">
        <is>
          <t>Usability and exceptions</t>
        </is>
      </c>
      <c r="E3" s="18" t="inlineStr">
        <is>
          <t>How-to guides, exception queue</t>
        </is>
      </c>
      <c r="F3" s="18" t="inlineStr">
        <is>
          <t>Walkthrough and handover guide</t>
        </is>
      </c>
      <c r="G3" s="18" t="inlineStr">
        <is>
          <t>At handover and on change</t>
        </is>
      </c>
      <c r="H3" s="18" t="inlineStr">
        <is>
          <t>Keep informed</t>
        </is>
      </c>
    </row>
    <row r="4" ht="15" customHeight="1" s="10">
      <c r="A4" s="18" t="inlineStr">
        <is>
          <t>Applicants and customers</t>
        </is>
      </c>
      <c r="B4" s="18" t="inlineStr">
        <is>
          <t>Low</t>
        </is>
      </c>
      <c r="C4" s="18" t="inlineStr">
        <is>
          <t>High</t>
        </is>
      </c>
      <c r="D4" s="18" t="inlineStr">
        <is>
          <t>Clear communication</t>
        </is>
      </c>
      <c r="E4" s="18" t="inlineStr">
        <is>
          <t>Confirmation, decision, next steps</t>
        </is>
      </c>
      <c r="F4" s="18" t="inlineStr">
        <is>
          <t>Automated email</t>
        </is>
      </c>
      <c r="G4" s="18" t="inlineStr">
        <is>
          <t>At each status change</t>
        </is>
      </c>
      <c r="H4" s="18" t="inlineStr">
        <is>
          <t>Keep informed</t>
        </is>
      </c>
    </row>
    <row r="5" ht="15" customHeight="1" s="10">
      <c r="A5" s="18" t="inlineStr">
        <is>
          <t>Developers and providers</t>
        </is>
      </c>
      <c r="B5" s="18" t="inlineStr">
        <is>
          <t>Medium</t>
        </is>
      </c>
      <c r="C5" s="18" t="inlineStr">
        <is>
          <t>Medium</t>
        </is>
      </c>
      <c r="D5" s="18" t="inlineStr">
        <is>
          <t>Integration requirements</t>
        </is>
      </c>
      <c r="E5" s="18" t="inlineStr">
        <is>
          <t>Field maps, triggers</t>
        </is>
      </c>
      <c r="F5" s="18" t="inlineStr">
        <is>
          <t>Technical brief</t>
        </is>
      </c>
      <c r="G5" s="18" t="inlineStr">
        <is>
          <t>Per build cycle</t>
        </is>
      </c>
      <c r="H5" s="18" t="inlineStr">
        <is>
          <t>Monitor</t>
        </is>
      </c>
    </row>
    <row r="6" ht="15" customHeight="1" s="10">
      <c r="A6" s="18" t="inlineStr">
        <is>
          <t>Marketing team</t>
        </is>
      </c>
      <c r="B6" s="18" t="inlineStr">
        <is>
          <t>Medium</t>
        </is>
      </c>
      <c r="C6" s="18" t="inlineStr">
        <is>
          <t>Medium</t>
        </is>
      </c>
      <c r="D6" s="18" t="inlineStr">
        <is>
          <t>Audience and campaign data</t>
        </is>
      </c>
      <c r="E6" s="18" t="inlineStr">
        <is>
          <t>Registration counts by source</t>
        </is>
      </c>
      <c r="F6" s="18" t="inlineStr">
        <is>
          <t>Dashboard view</t>
        </is>
      </c>
      <c r="G6" s="18" t="inlineStr">
        <is>
          <t>Weekly during campaign</t>
        </is>
      </c>
      <c r="H6" s="18" t="inlineStr">
        <is>
          <t>Monitor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E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9" min="1" max="1"/>
    <col width="42" customWidth="1" style="9" min="2" max="2"/>
    <col width="10" customWidth="1" style="9" min="3" max="3"/>
    <col width="42" customWidth="1" style="9" min="4" max="4"/>
    <col width="22" customWidth="1" style="9" min="5" max="5"/>
  </cols>
  <sheetData>
    <row r="1" ht="15" customHeight="1" s="10">
      <c r="A1" s="17" t="inlineStr">
        <is>
          <t>ID</t>
        </is>
      </c>
      <c r="B1" s="17" t="inlineStr">
        <is>
          <t>Risk</t>
        </is>
      </c>
      <c r="C1" s="17" t="inlineStr">
        <is>
          <t>Severity</t>
        </is>
      </c>
      <c r="D1" s="17" t="inlineStr">
        <is>
          <t>Response</t>
        </is>
      </c>
      <c r="E1" s="17" t="inlineStr">
        <is>
          <t>Owner</t>
        </is>
      </c>
    </row>
    <row r="2" ht="15" customHeight="1" s="10">
      <c r="A2" s="18" t="inlineStr">
        <is>
          <t>R-01</t>
        </is>
      </c>
      <c r="B2" s="18" t="inlineStr">
        <is>
          <t>Duplicate records</t>
        </is>
      </c>
      <c r="C2" s="18" t="inlineStr">
        <is>
          <t>High</t>
        </is>
      </c>
      <c r="D2" s="18" t="inlineStr">
        <is>
          <t>Unique IDs and duplicate flags</t>
        </is>
      </c>
      <c r="E2" s="18" t="inlineStr">
        <is>
          <t>Business analyst</t>
        </is>
      </c>
    </row>
    <row r="3" ht="15" customHeight="1" s="10">
      <c r="A3" s="18" t="inlineStr">
        <is>
          <t>R-02</t>
        </is>
      </c>
      <c r="B3" s="18" t="inlineStr">
        <is>
          <t>Automation sends the wrong message</t>
        </is>
      </c>
      <c r="C3" s="18" t="inlineStr">
        <is>
          <t>High</t>
        </is>
      </c>
      <c r="D3" s="18" t="inlineStr">
        <is>
          <t>Trigger tests and approved templates</t>
        </is>
      </c>
      <c r="E3" s="18" t="inlineStr">
        <is>
          <t>Business analyst</t>
        </is>
      </c>
    </row>
    <row r="4" ht="15" customHeight="1" s="10">
      <c r="A4" s="18" t="inlineStr">
        <is>
          <t>R-03</t>
        </is>
      </c>
      <c r="B4" s="18" t="inlineStr">
        <is>
          <t>Client cannot maintain the solution</t>
        </is>
      </c>
      <c r="C4" s="18" t="inlineStr">
        <is>
          <t>Medium</t>
        </is>
      </c>
      <c r="D4" s="18" t="inlineStr">
        <is>
          <t>Options assessment and handover guide</t>
        </is>
      </c>
      <c r="E4" s="18" t="inlineStr">
        <is>
          <t>Client lead</t>
        </is>
      </c>
    </row>
    <row r="5" ht="15" customHeight="1" s="10">
      <c r="A5" s="18" t="inlineStr">
        <is>
          <t>R-04</t>
        </is>
      </c>
      <c r="B5" s="18" t="inlineStr">
        <is>
          <t>Failures go unnoticed</t>
        </is>
      </c>
      <c r="C5" s="18" t="inlineStr">
        <is>
          <t>High</t>
        </is>
      </c>
      <c r="D5" s="18" t="inlineStr">
        <is>
          <t>Exception queue and ageing highlight</t>
        </is>
      </c>
      <c r="E5" s="18" t="inlineStr">
        <is>
          <t>Operations lead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9" min="1" max="1"/>
    <col width="12" customWidth="1" style="9" min="2" max="2"/>
    <col width="36" customWidth="1" style="9" min="3" max="3"/>
    <col width="34" customWidth="1" style="9" min="4" max="4"/>
    <col width="44" customWidth="1" style="9" min="5" max="5"/>
    <col width="26" customWidth="1" style="9" min="6" max="6"/>
  </cols>
  <sheetData>
    <row r="1" ht="26.85" customHeight="1" s="10">
      <c r="A1" s="17" t="inlineStr">
        <is>
          <t>Test ID</t>
        </is>
      </c>
      <c r="B1" s="17" t="inlineStr">
        <is>
          <t>Requirement</t>
        </is>
      </c>
      <c r="C1" s="17" t="inlineStr">
        <is>
          <t>Given</t>
        </is>
      </c>
      <c r="D1" s="17" t="inlineStr">
        <is>
          <t>When</t>
        </is>
      </c>
      <c r="E1" s="17" t="inlineStr">
        <is>
          <t>Then</t>
        </is>
      </c>
      <c r="F1" s="17" t="inlineStr">
        <is>
          <t>Status</t>
        </is>
      </c>
    </row>
    <row r="2" ht="15" customHeight="1" s="10">
      <c r="A2" s="18" t="inlineStr">
        <is>
          <t>UAT-01</t>
        </is>
      </c>
      <c r="B2" s="18" t="inlineStr">
        <is>
          <t>BR-01</t>
        </is>
      </c>
      <c r="C2" s="18" t="inlineStr">
        <is>
          <t>a new form submission</t>
        </is>
      </c>
      <c r="D2" s="18" t="inlineStr">
        <is>
          <t>the workflow runs</t>
        </is>
      </c>
      <c r="E2" s="18" t="inlineStr">
        <is>
          <t>one record with a unique ID is created</t>
        </is>
      </c>
      <c r="F2" s="18" t="inlineStr">
        <is>
          <t>Passed</t>
        </is>
      </c>
    </row>
    <row r="3" ht="15" customHeight="1" s="10">
      <c r="A3" s="18" t="inlineStr">
        <is>
          <t>UAT-02</t>
        </is>
      </c>
      <c r="B3" s="18" t="inlineStr">
        <is>
          <t>BR-02</t>
        </is>
      </c>
      <c r="C3" s="18" t="inlineStr">
        <is>
          <t>a vendor record</t>
        </is>
      </c>
      <c r="D3" s="18" t="inlineStr">
        <is>
          <t>status changes to Approved</t>
        </is>
      </c>
      <c r="E3" s="18" t="inlineStr">
        <is>
          <t>the vendor approval template is sent once and logged</t>
        </is>
      </c>
      <c r="F3" s="18" t="inlineStr">
        <is>
          <t>Passed</t>
        </is>
      </c>
    </row>
    <row r="4" ht="15" customHeight="1" s="10">
      <c r="A4" s="18" t="inlineStr">
        <is>
          <t>UAT-03</t>
        </is>
      </c>
      <c r="B4" s="18" t="inlineStr">
        <is>
          <t>BR-03</t>
        </is>
      </c>
      <c r="C4" s="18" t="inlineStr">
        <is>
          <t>a record with no owner</t>
        </is>
      </c>
      <c r="D4" s="18" t="inlineStr">
        <is>
          <t>the operations view is opened</t>
        </is>
      </c>
      <c r="E4" s="18" t="inlineStr">
        <is>
          <t>it appears in the unassigned view</t>
        </is>
      </c>
      <c r="F4" s="18" t="inlineStr">
        <is>
          <t>Passed</t>
        </is>
      </c>
    </row>
    <row r="5" ht="15" customHeight="1" s="10">
      <c r="A5" s="18" t="inlineStr">
        <is>
          <t>UAT-04</t>
        </is>
      </c>
      <c r="B5" s="18" t="inlineStr">
        <is>
          <t>BR-04</t>
        </is>
      </c>
      <c r="C5" s="18" t="inlineStr">
        <is>
          <t>the email step is forced to fail</t>
        </is>
      </c>
      <c r="D5" s="18" t="inlineStr">
        <is>
          <t>the automation runs</t>
        </is>
      </c>
      <c r="E5" s="18" t="inlineStr">
        <is>
          <t>an exception with reason and time is created</t>
        </is>
      </c>
      <c r="F5" s="18" t="inlineStr">
        <is>
          <t>Passed</t>
        </is>
      </c>
    </row>
    <row r="6" ht="15" customHeight="1" s="10">
      <c r="A6" s="18" t="inlineStr">
        <is>
          <t>UAT-05</t>
        </is>
      </c>
      <c r="B6" s="18" t="inlineStr">
        <is>
          <t>BR-05</t>
        </is>
      </c>
      <c r="C6" s="18" t="inlineStr">
        <is>
          <t>three solution options</t>
        </is>
      </c>
      <c r="D6" s="18" t="inlineStr">
        <is>
          <t>the matrix is completed with the client</t>
        </is>
      </c>
      <c r="E6" s="18" t="inlineStr">
        <is>
          <t>a recommended option with scores is recorded</t>
        </is>
      </c>
      <c r="F6" s="18" t="inlineStr">
        <is>
          <t>Passed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F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3" customWidth="1" style="9" min="1" max="2"/>
    <col width="26" customWidth="1" style="9" min="3" max="3"/>
    <col width="16" customWidth="1" style="9" min="4" max="4"/>
    <col width="22" customWidth="1" style="9" min="5" max="5"/>
    <col width="16" customWidth="1" style="9" min="6" max="6"/>
  </cols>
  <sheetData>
    <row r="1" ht="26.85" customHeight="1" s="10">
      <c r="A1" s="17" t="inlineStr">
        <is>
          <t>Requirement</t>
        </is>
      </c>
      <c r="B1" s="17" t="inlineStr">
        <is>
          <t>Objective ID</t>
        </is>
      </c>
      <c r="C1" s="17" t="inlineStr">
        <is>
          <t>Functional requirements</t>
        </is>
      </c>
      <c r="D1" s="17" t="inlineStr">
        <is>
          <t>User stories</t>
        </is>
      </c>
      <c r="E1" s="17" t="inlineStr">
        <is>
          <t>Test IDs</t>
        </is>
      </c>
      <c r="F1" s="17" t="inlineStr">
        <is>
          <t>Number of tests</t>
        </is>
      </c>
    </row>
    <row r="2" ht="15" customHeight="1" s="10">
      <c r="A2" s="18" t="inlineStr">
        <is>
          <t>BR-01</t>
        </is>
      </c>
      <c r="B2" s="18">
        <f>IFERROR(INDEX(Requirements!$D:$D,MATCH(A2,Requirements!$A:$A,0)),"")</f>
        <v/>
      </c>
      <c r="C2" s="18" t="inlineStr">
        <is>
          <t>FR-01</t>
        </is>
      </c>
      <c r="D2" s="18" t="inlineStr">
        <is>
          <t>US-01</t>
        </is>
      </c>
      <c r="E2" s="18" t="inlineStr">
        <is>
          <t>UAT-01</t>
        </is>
      </c>
      <c r="F2" s="18">
        <f>COUNTIF(UAT!$B:$B,A2)</f>
        <v/>
      </c>
    </row>
    <row r="3" ht="15" customHeight="1" s="10">
      <c r="A3" s="18" t="inlineStr">
        <is>
          <t>BR-02</t>
        </is>
      </c>
      <c r="B3" s="18">
        <f>IFERROR(INDEX(Requirements!$D:$D,MATCH(A3,Requirements!$A:$A,0)),"")</f>
        <v/>
      </c>
      <c r="C3" s="18" t="inlineStr">
        <is>
          <t>FR-02</t>
        </is>
      </c>
      <c r="D3" s="18" t="inlineStr">
        <is>
          <t>None</t>
        </is>
      </c>
      <c r="E3" s="18" t="inlineStr">
        <is>
          <t>UAT-02</t>
        </is>
      </c>
      <c r="F3" s="18">
        <f>COUNTIF(UAT!$B:$B,A3)</f>
        <v/>
      </c>
    </row>
    <row r="4" ht="15" customHeight="1" s="10">
      <c r="A4" s="18" t="inlineStr">
        <is>
          <t>BR-03</t>
        </is>
      </c>
      <c r="B4" s="18">
        <f>IFERROR(INDEX(Requirements!$D:$D,MATCH(A4,Requirements!$A:$A,0)),"")</f>
        <v/>
      </c>
      <c r="C4" s="18" t="inlineStr">
        <is>
          <t>FR-03</t>
        </is>
      </c>
      <c r="D4" s="18" t="inlineStr">
        <is>
          <t>None</t>
        </is>
      </c>
      <c r="E4" s="18" t="inlineStr">
        <is>
          <t>UAT-03</t>
        </is>
      </c>
      <c r="F4" s="18">
        <f>COUNTIF(UAT!$B:$B,A4)</f>
        <v/>
      </c>
    </row>
    <row r="5" ht="15" customHeight="1" s="10">
      <c r="A5" s="18" t="inlineStr">
        <is>
          <t>BR-04</t>
        </is>
      </c>
      <c r="B5" s="18">
        <f>IFERROR(INDEX(Requirements!$D:$D,MATCH(A5,Requirements!$A:$A,0)),"")</f>
        <v/>
      </c>
      <c r="C5" s="18" t="inlineStr">
        <is>
          <t>FR-04</t>
        </is>
      </c>
      <c r="D5" s="18" t="inlineStr">
        <is>
          <t>US-02</t>
        </is>
      </c>
      <c r="E5" s="18" t="inlineStr">
        <is>
          <t>UAT-04</t>
        </is>
      </c>
      <c r="F5" s="18">
        <f>COUNTIF(UAT!$B:$B,A5)</f>
        <v/>
      </c>
    </row>
    <row r="6" ht="15" customHeight="1" s="10">
      <c r="A6" s="18" t="inlineStr">
        <is>
          <t>BR-05</t>
        </is>
      </c>
      <c r="B6" s="18">
        <f>IFERROR(INDEX(Requirements!$D:$D,MATCH(A6,Requirements!$A:$A,0)),"")</f>
        <v/>
      </c>
      <c r="C6" s="18" t="inlineStr">
        <is>
          <t>FR-05</t>
        </is>
      </c>
      <c r="D6" s="18" t="inlineStr">
        <is>
          <t>None</t>
        </is>
      </c>
      <c r="E6" s="18" t="inlineStr">
        <is>
          <t>UAT-05</t>
        </is>
      </c>
      <c r="F6" s="18">
        <f>COUNTIF(UAT!$B:$B,A6)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D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2" customWidth="1" style="9" min="1" max="1"/>
    <col width="12" customWidth="1" style="9" min="2" max="2"/>
    <col width="38" customWidth="1" style="9" min="3" max="3"/>
    <col width="45" customWidth="1" style="9" min="4" max="4"/>
  </cols>
  <sheetData>
    <row r="1" ht="15" customHeight="1" s="10">
      <c r="A1" s="17" t="inlineStr">
        <is>
          <t>Field</t>
        </is>
      </c>
      <c r="B1" s="17" t="inlineStr">
        <is>
          <t>Type</t>
        </is>
      </c>
      <c r="C1" s="17" t="inlineStr">
        <is>
          <t>Definition</t>
        </is>
      </c>
      <c r="D1" s="17" t="inlineStr">
        <is>
          <t>Allowed values</t>
        </is>
      </c>
    </row>
    <row r="2" ht="15" customHeight="1" s="10">
      <c r="A2" s="18" t="inlineStr">
        <is>
          <t>record_id</t>
        </is>
      </c>
      <c r="B2" s="18" t="inlineStr">
        <is>
          <t>Text</t>
        </is>
      </c>
      <c r="C2" s="18" t="inlineStr">
        <is>
          <t>Unique workflow record</t>
        </is>
      </c>
      <c r="D2" s="18" t="inlineStr">
        <is>
          <t>REC-0001 format</t>
        </is>
      </c>
    </row>
    <row r="3" ht="15" customHeight="1" s="10">
      <c r="A3" s="18" t="inlineStr">
        <is>
          <t>record_type</t>
        </is>
      </c>
      <c r="B3" s="18" t="inlineStr">
        <is>
          <t>Category</t>
        </is>
      </c>
      <c r="C3" s="18" t="inlineStr">
        <is>
          <t>Submission type</t>
        </is>
      </c>
      <c r="D3" s="18" t="inlineStr">
        <is>
          <t>Registration, Vendor, Volunteer, Lead</t>
        </is>
      </c>
    </row>
    <row r="4" ht="15" customHeight="1" s="10">
      <c r="A4" s="18" t="inlineStr">
        <is>
          <t>status</t>
        </is>
      </c>
      <c r="B4" s="18" t="inlineStr">
        <is>
          <t>Category</t>
        </is>
      </c>
      <c r="C4" s="18" t="inlineStr">
        <is>
          <t>Workflow state</t>
        </is>
      </c>
      <c r="D4" s="18" t="inlineStr">
        <is>
          <t>New, In review, Approved, Declined, Closed</t>
        </is>
      </c>
    </row>
    <row r="5" ht="15" customHeight="1" s="10">
      <c r="A5" s="18" t="inlineStr">
        <is>
          <t>owner</t>
        </is>
      </c>
      <c r="B5" s="18" t="inlineStr">
        <is>
          <t>Text</t>
        </is>
      </c>
      <c r="C5" s="18" t="inlineStr">
        <is>
          <t>Responsible team member</t>
        </is>
      </c>
      <c r="D5" s="18" t="inlineStr">
        <is>
          <t>Named person</t>
        </is>
      </c>
    </row>
    <row r="6" ht="15" customHeight="1" s="10">
      <c r="A6" s="18" t="inlineStr">
        <is>
          <t>communication_status</t>
        </is>
      </c>
      <c r="B6" s="18" t="inlineStr">
        <is>
          <t>Category</t>
        </is>
      </c>
      <c r="C6" s="18" t="inlineStr">
        <is>
          <t>Message state</t>
        </is>
      </c>
      <c r="D6" s="18" t="inlineStr">
        <is>
          <t>Pending, Sent, Failed</t>
        </is>
      </c>
    </row>
    <row r="7" ht="15" customHeight="1" s="10">
      <c r="A7" s="18" t="inlineStr">
        <is>
          <t>exception_reason</t>
        </is>
      </c>
      <c r="B7" s="18" t="inlineStr">
        <is>
          <t>Text</t>
        </is>
      </c>
      <c r="C7" s="18" t="inlineStr">
        <is>
          <t>Why manual action is needed</t>
        </is>
      </c>
      <c r="D7" s="18" t="inlineStr">
        <is>
          <t>Free text from automation log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2026-09-25T01:59:52Z</dcterms:created>
  <dcterms:modified xmlns:dcterms="http://purl.org/dc/terms/" xmlns:xsi="http://www.w3.org/2001/XMLSchema-instance" xsi:type="dcterms:W3CDTF">2026-09-25T04:24:46Z</dcterms:modified>
  <cp:revision>0</cp:revision>
</cp:coreProperties>
</file>