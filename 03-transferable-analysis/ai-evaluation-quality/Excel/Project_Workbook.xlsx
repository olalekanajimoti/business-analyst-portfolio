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Objectives" sheetId="2" state="visible" r:id="rId4"/>
    <sheet name="Requirements" sheetId="3" state="visible" r:id="rId5"/>
    <sheet name="Functional" sheetId="4" state="visible" r:id="rId6"/>
    <sheet name="User Stories" sheetId="5" state="visible" r:id="rId7"/>
    <sheet name="Stakeholders" sheetId="6" state="visible" r:id="rId8"/>
    <sheet name="RAID" sheetId="7" state="visible" r:id="rId9"/>
    <sheet name="UAT" sheetId="8" state="visible" r:id="rId10"/>
    <sheet name="Traceability" sheetId="9" state="visible" r:id="rId11"/>
    <sheet name="Data Dictionar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<sst xmlns="http://schemas.openxmlformats.org/spreadsheetml/2006/main" count="246" uniqueCount="182">
  <si>
    <t xml:space="preserve">AI Evaluation Quality and Consistent Judgement</t>
  </si>
  <si>
    <t xml:space="preserve">Status</t>
  </si>
  <si>
    <t xml:space="preserve">Delivered evaluation work</t>
  </si>
  <si>
    <t xml:space="preserve">Domain</t>
  </si>
  <si>
    <t xml:space="preserve">Artificial intelligence services</t>
  </si>
  <si>
    <t xml:space="preserve">Role</t>
  </si>
  <si>
    <t xml:space="preserve">AI Evaluation Contractor</t>
  </si>
  <si>
    <t xml:space="preserve">Business problem</t>
  </si>
  <si>
    <t xml:space="preserve">Evaluating AI outputs at scale needs consistent interpretation of criteria, clear separation of evidence from assumption, and safe adaptation when guidance changes.</t>
  </si>
  <si>
    <t xml:space="preserve">Measure</t>
  </si>
  <si>
    <t xml:space="preserve">Value</t>
  </si>
  <si>
    <t xml:space="preserve">Source</t>
  </si>
  <si>
    <t xml:space="preserve">Business requirements</t>
  </si>
  <si>
    <t xml:space="preserve">Requirements</t>
  </si>
  <si>
    <t xml:space="preserve">Must requirements</t>
  </si>
  <si>
    <t xml:space="preserve">Should requirements</t>
  </si>
  <si>
    <t xml:space="preserve">Functional requirements</t>
  </si>
  <si>
    <t xml:space="preserve">Functional</t>
  </si>
  <si>
    <t xml:space="preserve">Requirements with a test</t>
  </si>
  <si>
    <t xml:space="preserve">Traceability</t>
  </si>
  <si>
    <t xml:space="preserve">Tests with status "Applied in practice"</t>
  </si>
  <si>
    <t xml:space="preserve">UAT</t>
  </si>
  <si>
    <t xml:space="preserve">High risks</t>
  </si>
  <si>
    <t xml:space="preserve">RAID</t>
  </si>
  <si>
    <t xml:space="preserve">Stakeholder groups</t>
  </si>
  <si>
    <t xml:space="preserve">Stakeholders</t>
  </si>
  <si>
    <t xml:space="preserve">Counts are formulas and update when rows are added. Status values are recorded on the UAT sheet.</t>
  </si>
  <si>
    <t xml:space="preserve">Objective ID</t>
  </si>
  <si>
    <t xml:space="preserve">Objective</t>
  </si>
  <si>
    <t xml:space="preserve">OBJ-01</t>
  </si>
  <si>
    <t xml:space="preserve">Apply the current criteria consistently</t>
  </si>
  <si>
    <t xml:space="preserve">OBJ-02</t>
  </si>
  <si>
    <t xml:space="preserve">Separate evidence from assumption</t>
  </si>
  <si>
    <t xml:space="preserve">OBJ-03</t>
  </si>
  <si>
    <t xml:space="preserve">Record clear, checkable rationale</t>
  </si>
  <si>
    <t xml:space="preserve">OBJ-04</t>
  </si>
  <si>
    <t xml:space="preserve">Adapt safely when guidance changes</t>
  </si>
  <si>
    <t xml:space="preserve">ID</t>
  </si>
  <si>
    <t xml:space="preserve">Requirement</t>
  </si>
  <si>
    <t xml:space="preserve">Priority</t>
  </si>
  <si>
    <t xml:space="preserve">Acceptance criterion</t>
  </si>
  <si>
    <t xml:space="preserve">BR-01</t>
  </si>
  <si>
    <t xml:space="preserve">The active criteria version is visible on every task</t>
  </si>
  <si>
    <t xml:space="preserve">Must</t>
  </si>
  <si>
    <t xml:space="preserve">Each decision links to a guidance version</t>
  </si>
  <si>
    <t xml:space="preserve">BR-02</t>
  </si>
  <si>
    <t xml:space="preserve">Each criterion has a recorded assessment</t>
  </si>
  <si>
    <t xml:space="preserve">Required criterion fields cannot be skipped</t>
  </si>
  <si>
    <t xml:space="preserve">BR-03</t>
  </si>
  <si>
    <t xml:space="preserve">Rationale cites observed evidence</t>
  </si>
  <si>
    <t xml:space="preserve">Explanation quotes or points to the specific issue</t>
  </si>
  <si>
    <t xml:space="preserve">BR-04</t>
  </si>
  <si>
    <t xml:space="preserve">Ambiguous cases can be escalated</t>
  </si>
  <si>
    <t xml:space="preserve">Should</t>
  </si>
  <si>
    <t xml:space="preserve">Escalation route and status are visible</t>
  </si>
  <si>
    <t xml:space="preserve">Parent BR</t>
  </si>
  <si>
    <t xml:space="preserve">System behaviour</t>
  </si>
  <si>
    <t xml:space="preserve">Business rule or validation</t>
  </si>
  <si>
    <t xml:space="preserve">FR-01</t>
  </si>
  <si>
    <t xml:space="preserve">Task view shows the guidance version and change notes</t>
  </si>
  <si>
    <t xml:space="preserve">Superseded versions are read-only</t>
  </si>
  <si>
    <t xml:space="preserve">FR-02</t>
  </si>
  <si>
    <t xml:space="preserve">Rating form lists factuality, completeness, reasoning and adherence</t>
  </si>
  <si>
    <t xml:space="preserve">Submission blocked until every criterion is rated</t>
  </si>
  <si>
    <t xml:space="preserve">FR-03</t>
  </si>
  <si>
    <t xml:space="preserve">Rationale field requires an evidence reference</t>
  </si>
  <si>
    <t xml:space="preserve">Flags: hallucination, contradiction, missing requirement</t>
  </si>
  <si>
    <t xml:space="preserve">FR-04</t>
  </si>
  <si>
    <t xml:space="preserve">Escalate button routes the case to the guidance owner</t>
  </si>
  <si>
    <t xml:space="preserve">Escalated tasks pause until answered</t>
  </si>
  <si>
    <t xml:space="preserve">As a</t>
  </si>
  <si>
    <t xml:space="preserve">I want</t>
  </si>
  <si>
    <t xml:space="preserve">So that</t>
  </si>
  <si>
    <t xml:space="preserve">Given</t>
  </si>
  <si>
    <t xml:space="preserve">When</t>
  </si>
  <si>
    <t xml:space="preserve">Then</t>
  </si>
  <si>
    <t xml:space="preserve">US-01</t>
  </si>
  <si>
    <t xml:space="preserve">quality reviewer</t>
  </si>
  <si>
    <t xml:space="preserve">rationales that point to specific evidence</t>
  </si>
  <si>
    <t xml:space="preserve">I can verify a decision quickly</t>
  </si>
  <si>
    <t xml:space="preserve">an evaluator flags a hallucination</t>
  </si>
  <si>
    <t xml:space="preserve">they submit</t>
  </si>
  <si>
    <t xml:space="preserve">the rationale shows the exact claim and why it is unsupported</t>
  </si>
  <si>
    <t xml:space="preserve">Stakeholder</t>
  </si>
  <si>
    <t xml:space="preserve">Influence</t>
  </si>
  <si>
    <t xml:space="preserve">Interest</t>
  </si>
  <si>
    <t xml:space="preserve">Primary interest</t>
  </si>
  <si>
    <t xml:space="preserve">Information need</t>
  </si>
  <si>
    <t xml:space="preserve">Method</t>
  </si>
  <si>
    <t xml:space="preserve">Cadence</t>
  </si>
  <si>
    <t xml:space="preserve">Approach</t>
  </si>
  <si>
    <t xml:space="preserve">Evaluation client</t>
  </si>
  <si>
    <t xml:space="preserve">High</t>
  </si>
  <si>
    <t xml:space="preserve">Medium</t>
  </si>
  <si>
    <t xml:space="preserve">Reliable quality decisions</t>
  </si>
  <si>
    <t xml:space="preserve">Agreement and quality trends</t>
  </si>
  <si>
    <t xml:space="preserve">Quality report</t>
  </si>
  <si>
    <t xml:space="preserve">Per batch</t>
  </si>
  <si>
    <t xml:space="preserve">Keep satisfied</t>
  </si>
  <si>
    <t xml:space="preserve">Evaluators</t>
  </si>
  <si>
    <t xml:space="preserve">Low</t>
  </si>
  <si>
    <t xml:space="preserve">Clear criteria and examples</t>
  </si>
  <si>
    <t xml:space="preserve">Guidance, examples, feedback</t>
  </si>
  <si>
    <t xml:space="preserve">Guidance hub and feedback</t>
  </si>
  <si>
    <t xml:space="preserve">Each task</t>
  </si>
  <si>
    <t xml:space="preserve">Keep informed</t>
  </si>
  <si>
    <t xml:space="preserve">Quality reviewers</t>
  </si>
  <si>
    <t xml:space="preserve">Consistency evidence</t>
  </si>
  <si>
    <t xml:space="preserve">Sampled decisions</t>
  </si>
  <si>
    <t xml:space="preserve">Review queue</t>
  </si>
  <si>
    <t xml:space="preserve">Daily</t>
  </si>
  <si>
    <t xml:space="preserve">Guidance owners</t>
  </si>
  <si>
    <t xml:space="preserve">Controlled updates</t>
  </si>
  <si>
    <t xml:space="preserve">Escalations, drift</t>
  </si>
  <si>
    <t xml:space="preserve">Escalation channel</t>
  </si>
  <si>
    <t xml:space="preserve">As raised</t>
  </si>
  <si>
    <t xml:space="preserve">Manage closely</t>
  </si>
  <si>
    <t xml:space="preserve">Risk</t>
  </si>
  <si>
    <t xml:space="preserve">Severity</t>
  </si>
  <si>
    <t xml:space="preserve">Response</t>
  </si>
  <si>
    <t xml:space="preserve">Owner</t>
  </si>
  <si>
    <t xml:space="preserve">R-01</t>
  </si>
  <si>
    <t xml:space="preserve">Criteria interpreted inconsistently</t>
  </si>
  <si>
    <t xml:space="preserve">Worked examples and calibration</t>
  </si>
  <si>
    <t xml:space="preserve">Guidance owner</t>
  </si>
  <si>
    <t xml:space="preserve">R-02</t>
  </si>
  <si>
    <t xml:space="preserve">Guidance changes midstream</t>
  </si>
  <si>
    <t xml:space="preserve">Version control and change notes</t>
  </si>
  <si>
    <t xml:space="preserve">R-03</t>
  </si>
  <si>
    <t xml:space="preserve">Unsupported assumption affects rating</t>
  </si>
  <si>
    <t xml:space="preserve">Evidence checklist</t>
  </si>
  <si>
    <t xml:space="preserve">Evaluator</t>
  </si>
  <si>
    <t xml:space="preserve">R-04</t>
  </si>
  <si>
    <t xml:space="preserve">Sensitive content exposed</t>
  </si>
  <si>
    <t xml:space="preserve">Confidentiality controls</t>
  </si>
  <si>
    <t xml:space="preserve">Platform operations</t>
  </si>
  <si>
    <t xml:space="preserve">Test ID</t>
  </si>
  <si>
    <t xml:space="preserve">UAT-01</t>
  </si>
  <si>
    <t xml:space="preserve">guidance v3 is active</t>
  </si>
  <si>
    <t xml:space="preserve">a task opens</t>
  </si>
  <si>
    <t xml:space="preserve">v3 and its change notes are shown</t>
  </si>
  <si>
    <t xml:space="preserve">Applied in practice</t>
  </si>
  <si>
    <t xml:space="preserve">UAT-02</t>
  </si>
  <si>
    <t xml:space="preserve">reasoning is not rated</t>
  </si>
  <si>
    <t xml:space="preserve">the evaluator submits</t>
  </si>
  <si>
    <t xml:space="preserve">submission is blocked</t>
  </si>
  <si>
    <t xml:space="preserve">UAT-03</t>
  </si>
  <si>
    <t xml:space="preserve">a contradiction is found</t>
  </si>
  <si>
    <t xml:space="preserve">the rationale is written</t>
  </si>
  <si>
    <t xml:space="preserve">it cites the conflicting statements</t>
  </si>
  <si>
    <t xml:space="preserve">UAT-04</t>
  </si>
  <si>
    <t xml:space="preserve">an ambiguous case</t>
  </si>
  <si>
    <t xml:space="preserve">it is escalated</t>
  </si>
  <si>
    <t xml:space="preserve">the task pauses and shows escalation status</t>
  </si>
  <si>
    <t xml:space="preserve">User stories</t>
  </si>
  <si>
    <t xml:space="preserve">Test IDs</t>
  </si>
  <si>
    <t xml:space="preserve">Number of tests</t>
  </si>
  <si>
    <t xml:space="preserve">None</t>
  </si>
  <si>
    <t xml:space="preserve">Field</t>
  </si>
  <si>
    <t xml:space="preserve">Type</t>
  </si>
  <si>
    <t xml:space="preserve">Definition</t>
  </si>
  <si>
    <t xml:space="preserve">Allowed values</t>
  </si>
  <si>
    <t xml:space="preserve">task_id</t>
  </si>
  <si>
    <t xml:space="preserve">Text</t>
  </si>
  <si>
    <t xml:space="preserve">Controlled task identifier</t>
  </si>
  <si>
    <t xml:space="preserve">Platform ID</t>
  </si>
  <si>
    <t xml:space="preserve">criteria_version</t>
  </si>
  <si>
    <t xml:space="preserve">Guidance version applied</t>
  </si>
  <si>
    <t xml:space="preserve">vN</t>
  </si>
  <si>
    <t xml:space="preserve">criterion</t>
  </si>
  <si>
    <t xml:space="preserve">Category</t>
  </si>
  <si>
    <t xml:space="preserve">Evaluation dimension</t>
  </si>
  <si>
    <t xml:space="preserve">Factuality, Completeness, Reasoning, Adherence</t>
  </si>
  <si>
    <t xml:space="preserve">rating</t>
  </si>
  <si>
    <t xml:space="preserve">Permitted decision</t>
  </si>
  <si>
    <t xml:space="preserve">Per rubric scale</t>
  </si>
  <si>
    <t xml:space="preserve">rationale</t>
  </si>
  <si>
    <t xml:space="preserve">Evidence-based explanation</t>
  </si>
  <si>
    <t xml:space="preserve">Must cite evidence</t>
  </si>
  <si>
    <t xml:space="preserve">quality_status</t>
  </si>
  <si>
    <t xml:space="preserve">Review state</t>
  </si>
  <si>
    <t xml:space="preserve">Not sampled, Agreed, Disagreed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</si>
</sst>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5253D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64748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525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525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9" customFormat="false" ht="15" hidden="false" customHeight="false" outlineLevel="0" collapsed="false">
      <c r="A9" s="4" t="s">
        <v>9</v>
      </c>
      <c r="B9" s="4" t="s">
        <v>10</v>
      </c>
      <c r="C9" s="4" t="s">
        <v>11</v>
      </c>
    </row>
    <row r="10" customFormat="false" ht="15" hidden="false" customHeight="false" outlineLevel="0" collapsed="false">
      <c r="A10" s="5" t="s">
        <v>12</v>
      </c>
      <c r="B10" s="5" t="n">
        <f aca="false">COUNTA(Requirements!A2:A200)</f>
        <v>4</v>
      </c>
      <c r="C10" s="5" t="s">
        <v>13</v>
      </c>
    </row>
    <row r="11" customFormat="false" ht="15" hidden="false" customHeight="false" outlineLevel="0" collapsed="false">
      <c r="A11" s="5" t="s">
        <v>14</v>
      </c>
      <c r="B11" s="5" t="n">
        <f aca="false">COUNTIF(Requirements!C2:C200,"Must")</f>
        <v>3</v>
      </c>
      <c r="C11" s="5" t="s">
        <v>13</v>
      </c>
    </row>
    <row r="12" customFormat="false" ht="15" hidden="false" customHeight="false" outlineLevel="0" collapsed="false">
      <c r="A12" s="5" t="s">
        <v>15</v>
      </c>
      <c r="B12" s="5" t="n">
        <f aca="false">COUNTIF(Requirements!C2:C200,"Should")</f>
        <v>1</v>
      </c>
      <c r="C12" s="5" t="s">
        <v>13</v>
      </c>
    </row>
    <row r="13" customFormat="false" ht="15" hidden="false" customHeight="false" outlineLevel="0" collapsed="false">
      <c r="A13" s="5" t="s">
        <v>16</v>
      </c>
      <c r="B13" s="5" t="n">
        <f aca="false">COUNTA(Functional!A2:A200)</f>
        <v>4</v>
      </c>
      <c r="C13" s="5" t="s">
        <v>17</v>
      </c>
    </row>
    <row r="14" customFormat="false" ht="15" hidden="false" customHeight="false" outlineLevel="0" collapsed="false">
      <c r="A14" s="5" t="s">
        <v>18</v>
      </c>
      <c r="B14" s="5" t="n">
        <f aca="false">COUNTIF(Traceability!F2:F200,"&gt;0")</f>
        <v>4</v>
      </c>
      <c r="C14" s="5" t="s">
        <v>19</v>
      </c>
    </row>
    <row r="15" customFormat="false" ht="15" hidden="false" customHeight="false" outlineLevel="0" collapsed="false">
      <c r="A15" s="5" t="s">
        <v>20</v>
      </c>
      <c r="B15" s="5" t="n">
        <f aca="false">COUNTIF(UAT!F2:F200,"Applied in practice")</f>
        <v>4</v>
      </c>
      <c r="C15" s="5" t="s">
        <v>21</v>
      </c>
    </row>
    <row r="16" customFormat="false" ht="15" hidden="false" customHeight="false" outlineLevel="0" collapsed="false">
      <c r="A16" s="5" t="s">
        <v>22</v>
      </c>
      <c r="B16" s="5" t="n">
        <f aca="false">COUNTIF(RAID!C2:C200,"High")</f>
        <v>4</v>
      </c>
      <c r="C16" s="5" t="s">
        <v>23</v>
      </c>
    </row>
    <row r="17" customFormat="false" ht="15" hidden="false" customHeight="false" outlineLevel="0" collapsed="false">
      <c r="A17" s="5" t="s">
        <v>24</v>
      </c>
      <c r="B17" s="5" t="n">
        <f aca="false">COUNTA(Stakeholders!A2:A200)</f>
        <v>4</v>
      </c>
      <c r="C17" s="5" t="s">
        <v>25</v>
      </c>
    </row>
    <row r="19" customFormat="false" ht="15" hidden="false" customHeight="false" outlineLevel="0" collapsed="false">
      <c r="A19" s="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27</v>
      </c>
      <c r="B1" s="7" t="s">
        <v>28</v>
      </c>
    </row>
    <row r="2" customFormat="false" ht="15" hidden="false" customHeight="false" outlineLevel="0" collapsed="false">
      <c r="A2" s="8" t="s">
        <v>29</v>
      </c>
      <c r="B2" s="8" t="s">
        <v>30</v>
      </c>
    </row>
    <row r="3" customFormat="false" ht="15" hidden="false" customHeight="false" outlineLevel="0" collapsed="false">
      <c r="A3" s="8" t="s">
        <v>31</v>
      </c>
      <c r="B3" s="8" t="s">
        <v>32</v>
      </c>
    </row>
    <row r="4" customFormat="false" ht="15" hidden="false" customHeight="false" outlineLevel="0" collapsed="false">
      <c r="A4" s="8" t="s">
        <v>33</v>
      </c>
      <c r="B4" s="8" t="s">
        <v>34</v>
      </c>
    </row>
    <row r="5" customFormat="false" ht="15" hidden="false" customHeight="false" outlineLevel="0" collapsed="false">
      <c r="A5" s="8" t="s">
        <v>35</v>
      </c>
      <c r="B5" s="8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40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7" t="s">
        <v>37</v>
      </c>
      <c r="B1" s="7" t="s">
        <v>38</v>
      </c>
      <c r="C1" s="7" t="s">
        <v>39</v>
      </c>
      <c r="D1" s="7" t="s">
        <v>27</v>
      </c>
      <c r="E1" s="7" t="s">
        <v>28</v>
      </c>
      <c r="F1" s="7" t="s">
        <v>40</v>
      </c>
    </row>
    <row r="2" customFormat="false" ht="15" hidden="false" customHeight="false" outlineLevel="0" collapsed="false">
      <c r="A2" s="8" t="s">
        <v>41</v>
      </c>
      <c r="B2" s="8" t="s">
        <v>42</v>
      </c>
      <c r="C2" s="8" t="s">
        <v>43</v>
      </c>
      <c r="D2" s="8" t="s">
        <v>29</v>
      </c>
      <c r="E2" s="8" t="str">
        <f aca="false">IFERROR(INDEX(Objectives!$B:$B,MATCH(D2,Objectives!$A:$A,0)),"Check objective ID")</f>
        <v>Apply the current criteria consistently</v>
      </c>
      <c r="F2" s="8" t="s">
        <v>44</v>
      </c>
    </row>
    <row r="3" customFormat="false" ht="15" hidden="false" customHeight="false" outlineLevel="0" collapsed="false">
      <c r="A3" s="8" t="s">
        <v>45</v>
      </c>
      <c r="B3" s="8" t="s">
        <v>46</v>
      </c>
      <c r="C3" s="8" t="s">
        <v>43</v>
      </c>
      <c r="D3" s="8" t="s">
        <v>31</v>
      </c>
      <c r="E3" s="8" t="str">
        <f aca="false">IFERROR(INDEX(Objectives!$B:$B,MATCH(D3,Objectives!$A:$A,0)),"Check objective ID")</f>
        <v>Separate evidence from assumption</v>
      </c>
      <c r="F3" s="8" t="s">
        <v>47</v>
      </c>
    </row>
    <row r="4" customFormat="false" ht="15" hidden="false" customHeight="false" outlineLevel="0" collapsed="false">
      <c r="A4" s="8" t="s">
        <v>48</v>
      </c>
      <c r="B4" s="8" t="s">
        <v>49</v>
      </c>
      <c r="C4" s="8" t="s">
        <v>43</v>
      </c>
      <c r="D4" s="8" t="s">
        <v>33</v>
      </c>
      <c r="E4" s="8" t="str">
        <f aca="false">IFERROR(INDEX(Objectives!$B:$B,MATCH(D4,Objectives!$A:$A,0)),"Check objective ID")</f>
        <v>Record clear, checkable rationale</v>
      </c>
      <c r="F4" s="8" t="s">
        <v>50</v>
      </c>
    </row>
    <row r="5" customFormat="false" ht="15" hidden="false" customHeight="false" outlineLevel="0" collapsed="false">
      <c r="A5" s="8" t="s">
        <v>51</v>
      </c>
      <c r="B5" s="8" t="s">
        <v>52</v>
      </c>
      <c r="C5" s="8" t="s">
        <v>53</v>
      </c>
      <c r="D5" s="8" t="s">
        <v>35</v>
      </c>
      <c r="E5" s="8" t="str">
        <f aca="false">IFERROR(INDEX(Objectives!$B:$B,MATCH(D5,Objectives!$A:$A,0)),"Check objective ID")</f>
        <v>Adapt safely when guidance changes</v>
      </c>
      <c r="F5" s="8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60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7" t="s">
        <v>37</v>
      </c>
      <c r="B1" s="7" t="s">
        <v>55</v>
      </c>
      <c r="C1" s="7" t="s">
        <v>56</v>
      </c>
      <c r="D1" s="7" t="s">
        <v>57</v>
      </c>
    </row>
    <row r="2" customFormat="false" ht="15" hidden="false" customHeight="false" outlineLevel="0" collapsed="false">
      <c r="A2" s="8" t="s">
        <v>58</v>
      </c>
      <c r="B2" s="8" t="s">
        <v>41</v>
      </c>
      <c r="C2" s="8" t="s">
        <v>59</v>
      </c>
      <c r="D2" s="8" t="s">
        <v>60</v>
      </c>
    </row>
    <row r="3" customFormat="false" ht="15" hidden="false" customHeight="false" outlineLevel="0" collapsed="false">
      <c r="A3" s="8" t="s">
        <v>61</v>
      </c>
      <c r="B3" s="8" t="s">
        <v>45</v>
      </c>
      <c r="C3" s="8" t="s">
        <v>62</v>
      </c>
      <c r="D3" s="8" t="s">
        <v>63</v>
      </c>
    </row>
    <row r="4" customFormat="false" ht="15" hidden="false" customHeight="false" outlineLevel="0" collapsed="false">
      <c r="A4" s="8" t="s">
        <v>64</v>
      </c>
      <c r="B4" s="8" t="s">
        <v>48</v>
      </c>
      <c r="C4" s="8" t="s">
        <v>65</v>
      </c>
      <c r="D4" s="8" t="s">
        <v>66</v>
      </c>
    </row>
    <row r="5" customFormat="false" ht="15" hidden="false" customHeight="false" outlineLevel="0" collapsed="false">
      <c r="A5" s="8" t="s">
        <v>67</v>
      </c>
      <c r="B5" s="8" t="s">
        <v>51</v>
      </c>
      <c r="C5" s="8" t="s">
        <v>68</v>
      </c>
      <c r="D5" s="8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35"/>
    <col collapsed="false" customWidth="true" hidden="false" outlineLevel="0" max="6" min="6" style="0" width="30"/>
    <col collapsed="false" customWidth="true" hidden="false" outlineLevel="0" max="7" min="7" style="0" width="28"/>
    <col collapsed="false" customWidth="true" hidden="false" outlineLevel="0" max="8" min="8" style="0" width="40"/>
  </cols>
  <sheetData>
    <row r="1" customFormat="false" ht="26.85" hidden="false" customHeight="false" outlineLevel="0" collapsed="false">
      <c r="A1" s="7" t="s">
        <v>37</v>
      </c>
      <c r="B1" s="7" t="s">
        <v>55</v>
      </c>
      <c r="C1" s="7" t="s">
        <v>70</v>
      </c>
      <c r="D1" s="7" t="s">
        <v>71</v>
      </c>
      <c r="E1" s="7" t="s">
        <v>72</v>
      </c>
      <c r="F1" s="7" t="s">
        <v>73</v>
      </c>
      <c r="G1" s="7" t="s">
        <v>74</v>
      </c>
      <c r="H1" s="7" t="s">
        <v>75</v>
      </c>
    </row>
    <row r="2" customFormat="false" ht="23.85" hidden="false" customHeight="false" outlineLevel="0" collapsed="false">
      <c r="A2" s="8" t="s">
        <v>76</v>
      </c>
      <c r="B2" s="8" t="s">
        <v>48</v>
      </c>
      <c r="C2" s="8" t="s">
        <v>77</v>
      </c>
      <c r="D2" s="8" t="s">
        <v>78</v>
      </c>
      <c r="E2" s="8" t="s">
        <v>79</v>
      </c>
      <c r="F2" s="8" t="s">
        <v>80</v>
      </c>
      <c r="G2" s="8" t="s">
        <v>81</v>
      </c>
      <c r="H2" s="8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6" min="4" style="0" width="32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7" t="s">
        <v>83</v>
      </c>
      <c r="B1" s="7" t="s">
        <v>84</v>
      </c>
      <c r="C1" s="7" t="s">
        <v>85</v>
      </c>
      <c r="D1" s="7" t="s">
        <v>86</v>
      </c>
      <c r="E1" s="7" t="s">
        <v>87</v>
      </c>
      <c r="F1" s="7" t="s">
        <v>88</v>
      </c>
      <c r="G1" s="7" t="s">
        <v>89</v>
      </c>
      <c r="H1" s="7" t="s">
        <v>90</v>
      </c>
    </row>
    <row r="2" customFormat="false" ht="15" hidden="false" customHeight="false" outlineLevel="0" collapsed="false">
      <c r="A2" s="8" t="s">
        <v>91</v>
      </c>
      <c r="B2" s="8" t="s">
        <v>92</v>
      </c>
      <c r="C2" s="8" t="s">
        <v>93</v>
      </c>
      <c r="D2" s="8" t="s">
        <v>94</v>
      </c>
      <c r="E2" s="8" t="s">
        <v>95</v>
      </c>
      <c r="F2" s="8" t="s">
        <v>96</v>
      </c>
      <c r="G2" s="8" t="s">
        <v>97</v>
      </c>
      <c r="H2" s="8" t="s">
        <v>98</v>
      </c>
    </row>
    <row r="3" customFormat="false" ht="15" hidden="false" customHeight="false" outlineLevel="0" collapsed="false">
      <c r="A3" s="8" t="s">
        <v>99</v>
      </c>
      <c r="B3" s="8" t="s">
        <v>100</v>
      </c>
      <c r="C3" s="8" t="s">
        <v>92</v>
      </c>
      <c r="D3" s="8" t="s">
        <v>101</v>
      </c>
      <c r="E3" s="8" t="s">
        <v>102</v>
      </c>
      <c r="F3" s="8" t="s">
        <v>103</v>
      </c>
      <c r="G3" s="8" t="s">
        <v>104</v>
      </c>
      <c r="H3" s="8" t="s">
        <v>105</v>
      </c>
    </row>
    <row r="4" customFormat="false" ht="15" hidden="false" customHeight="false" outlineLevel="0" collapsed="false">
      <c r="A4" s="8" t="s">
        <v>106</v>
      </c>
      <c r="B4" s="8" t="s">
        <v>93</v>
      </c>
      <c r="C4" s="8" t="s">
        <v>92</v>
      </c>
      <c r="D4" s="8" t="s">
        <v>107</v>
      </c>
      <c r="E4" s="8" t="s">
        <v>108</v>
      </c>
      <c r="F4" s="8" t="s">
        <v>109</v>
      </c>
      <c r="G4" s="8" t="s">
        <v>110</v>
      </c>
      <c r="H4" s="8" t="s">
        <v>105</v>
      </c>
    </row>
    <row r="5" customFormat="false" ht="15" hidden="false" customHeight="false" outlineLevel="0" collapsed="false">
      <c r="A5" s="8" t="s">
        <v>111</v>
      </c>
      <c r="B5" s="8" t="s">
        <v>92</v>
      </c>
      <c r="C5" s="8" t="s">
        <v>92</v>
      </c>
      <c r="D5" s="8" t="s">
        <v>112</v>
      </c>
      <c r="E5" s="8" t="s">
        <v>113</v>
      </c>
      <c r="F5" s="8" t="s">
        <v>114</v>
      </c>
      <c r="G5" s="8" t="s">
        <v>115</v>
      </c>
      <c r="H5" s="8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7" t="s">
        <v>37</v>
      </c>
      <c r="B1" s="7" t="s">
        <v>117</v>
      </c>
      <c r="C1" s="7" t="s">
        <v>118</v>
      </c>
      <c r="D1" s="7" t="s">
        <v>119</v>
      </c>
      <c r="E1" s="7" t="s">
        <v>120</v>
      </c>
    </row>
    <row r="2" customFormat="false" ht="15" hidden="false" customHeight="false" outlineLevel="0" collapsed="false">
      <c r="A2" s="8" t="s">
        <v>121</v>
      </c>
      <c r="B2" s="8" t="s">
        <v>122</v>
      </c>
      <c r="C2" s="8" t="s">
        <v>92</v>
      </c>
      <c r="D2" s="8" t="s">
        <v>123</v>
      </c>
      <c r="E2" s="8" t="s">
        <v>124</v>
      </c>
    </row>
    <row r="3" customFormat="false" ht="15" hidden="false" customHeight="false" outlineLevel="0" collapsed="false">
      <c r="A3" s="8" t="s">
        <v>125</v>
      </c>
      <c r="B3" s="8" t="s">
        <v>126</v>
      </c>
      <c r="C3" s="8" t="s">
        <v>92</v>
      </c>
      <c r="D3" s="8" t="s">
        <v>127</v>
      </c>
      <c r="E3" s="8" t="s">
        <v>124</v>
      </c>
    </row>
    <row r="4" customFormat="false" ht="15" hidden="false" customHeight="false" outlineLevel="0" collapsed="false">
      <c r="A4" s="8" t="s">
        <v>128</v>
      </c>
      <c r="B4" s="8" t="s">
        <v>129</v>
      </c>
      <c r="C4" s="8" t="s">
        <v>92</v>
      </c>
      <c r="D4" s="8" t="s">
        <v>130</v>
      </c>
      <c r="E4" s="8" t="s">
        <v>131</v>
      </c>
    </row>
    <row r="5" customFormat="false" ht="15" hidden="false" customHeight="false" outlineLevel="0" collapsed="false">
      <c r="A5" s="8" t="s">
        <v>132</v>
      </c>
      <c r="B5" s="8" t="s">
        <v>133</v>
      </c>
      <c r="C5" s="8" t="s">
        <v>92</v>
      </c>
      <c r="D5" s="8" t="s">
        <v>134</v>
      </c>
      <c r="E5" s="8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5" min="5" style="0" width="44"/>
    <col collapsed="false" customWidth="true" hidden="false" outlineLevel="0" max="6" min="6" style="0" width="26"/>
  </cols>
  <sheetData>
    <row r="1" customFormat="false" ht="26.85" hidden="false" customHeight="false" outlineLevel="0" collapsed="false">
      <c r="A1" s="7" t="s">
        <v>136</v>
      </c>
      <c r="B1" s="7" t="s">
        <v>38</v>
      </c>
      <c r="C1" s="7" t="s">
        <v>73</v>
      </c>
      <c r="D1" s="7" t="s">
        <v>74</v>
      </c>
      <c r="E1" s="7" t="s">
        <v>75</v>
      </c>
      <c r="F1" s="7" t="s">
        <v>1</v>
      </c>
    </row>
    <row r="2" customFormat="false" ht="15" hidden="false" customHeight="false" outlineLevel="0" collapsed="false">
      <c r="A2" s="8" t="s">
        <v>137</v>
      </c>
      <c r="B2" s="8" t="s">
        <v>41</v>
      </c>
      <c r="C2" s="8" t="s">
        <v>138</v>
      </c>
      <c r="D2" s="8" t="s">
        <v>139</v>
      </c>
      <c r="E2" s="8" t="s">
        <v>140</v>
      </c>
      <c r="F2" s="8" t="s">
        <v>141</v>
      </c>
    </row>
    <row r="3" customFormat="false" ht="15" hidden="false" customHeight="false" outlineLevel="0" collapsed="false">
      <c r="A3" s="8" t="s">
        <v>142</v>
      </c>
      <c r="B3" s="8" t="s">
        <v>45</v>
      </c>
      <c r="C3" s="8" t="s">
        <v>143</v>
      </c>
      <c r="D3" s="8" t="s">
        <v>144</v>
      </c>
      <c r="E3" s="8" t="s">
        <v>145</v>
      </c>
      <c r="F3" s="8" t="s">
        <v>141</v>
      </c>
    </row>
    <row r="4" customFormat="false" ht="15" hidden="false" customHeight="false" outlineLevel="0" collapsed="false">
      <c r="A4" s="8" t="s">
        <v>146</v>
      </c>
      <c r="B4" s="8" t="s">
        <v>48</v>
      </c>
      <c r="C4" s="8" t="s">
        <v>147</v>
      </c>
      <c r="D4" s="8" t="s">
        <v>148</v>
      </c>
      <c r="E4" s="8" t="s">
        <v>149</v>
      </c>
      <c r="F4" s="8" t="s">
        <v>141</v>
      </c>
    </row>
    <row r="5" customFormat="false" ht="15" hidden="false" customHeight="false" outlineLevel="0" collapsed="false">
      <c r="A5" s="8" t="s">
        <v>150</v>
      </c>
      <c r="B5" s="8" t="s">
        <v>51</v>
      </c>
      <c r="C5" s="8" t="s">
        <v>151</v>
      </c>
      <c r="D5" s="8" t="s">
        <v>152</v>
      </c>
      <c r="E5" s="8" t="s">
        <v>153</v>
      </c>
      <c r="F5" s="8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26.85" hidden="false" customHeight="false" outlineLevel="0" collapsed="false">
      <c r="A1" s="7" t="s">
        <v>38</v>
      </c>
      <c r="B1" s="7" t="s">
        <v>27</v>
      </c>
      <c r="C1" s="7" t="s">
        <v>16</v>
      </c>
      <c r="D1" s="7" t="s">
        <v>154</v>
      </c>
      <c r="E1" s="7" t="s">
        <v>155</v>
      </c>
      <c r="F1" s="7" t="s">
        <v>156</v>
      </c>
    </row>
    <row r="2" customFormat="false" ht="15" hidden="false" customHeight="false" outlineLevel="0" collapsed="false">
      <c r="A2" s="8" t="s">
        <v>41</v>
      </c>
      <c r="B2" s="8" t="str">
        <f aca="false">IFERROR(INDEX(Requirements!$D:$D,MATCH(A2,Requirements!$A:$A,0)),"")</f>
        <v>OBJ-01</v>
      </c>
      <c r="C2" s="8" t="s">
        <v>58</v>
      </c>
      <c r="D2" s="8" t="s">
        <v>157</v>
      </c>
      <c r="E2" s="8" t="s">
        <v>137</v>
      </c>
      <c r="F2" s="8" t="n">
        <f aca="false">COUNTIF(UAT!$B:$B,A2)</f>
        <v>1</v>
      </c>
    </row>
    <row r="3" customFormat="false" ht="15" hidden="false" customHeight="false" outlineLevel="0" collapsed="false">
      <c r="A3" s="8" t="s">
        <v>45</v>
      </c>
      <c r="B3" s="8" t="str">
        <f aca="false">IFERROR(INDEX(Requirements!$D:$D,MATCH(A3,Requirements!$A:$A,0)),"")</f>
        <v>OBJ-02</v>
      </c>
      <c r="C3" s="8" t="s">
        <v>61</v>
      </c>
      <c r="D3" s="8" t="s">
        <v>157</v>
      </c>
      <c r="E3" s="8" t="s">
        <v>142</v>
      </c>
      <c r="F3" s="8" t="n">
        <f aca="false">COUNTIF(UAT!$B:$B,A3)</f>
        <v>1</v>
      </c>
    </row>
    <row r="4" customFormat="false" ht="15" hidden="false" customHeight="false" outlineLevel="0" collapsed="false">
      <c r="A4" s="8" t="s">
        <v>48</v>
      </c>
      <c r="B4" s="8" t="str">
        <f aca="false">IFERROR(INDEX(Requirements!$D:$D,MATCH(A4,Requirements!$A:$A,0)),"")</f>
        <v>OBJ-03</v>
      </c>
      <c r="C4" s="8" t="s">
        <v>64</v>
      </c>
      <c r="D4" s="8" t="s">
        <v>76</v>
      </c>
      <c r="E4" s="8" t="s">
        <v>146</v>
      </c>
      <c r="F4" s="8" t="n">
        <f aca="false">COUNTIF(UAT!$B:$B,A4)</f>
        <v>1</v>
      </c>
    </row>
    <row r="5" customFormat="false" ht="15" hidden="false" customHeight="false" outlineLevel="0" collapsed="false">
      <c r="A5" s="8" t="s">
        <v>51</v>
      </c>
      <c r="B5" s="8" t="str">
        <f aca="false">IFERROR(INDEX(Requirements!$D:$D,MATCH(A5,Requirements!$A:$A,0)),"")</f>
        <v>OBJ-04</v>
      </c>
      <c r="C5" s="8" t="s">
        <v>67</v>
      </c>
      <c r="D5" s="8" t="s">
        <v>157</v>
      </c>
      <c r="E5" s="8" t="s">
        <v>150</v>
      </c>
      <c r="F5" s="8" t="n">
        <f aca="false">COUNTIF(UAT!$B:$B,A5)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7" t="s">
        <v>158</v>
      </c>
      <c r="B1" s="7" t="s">
        <v>159</v>
      </c>
      <c r="C1" s="7" t="s">
        <v>160</v>
      </c>
      <c r="D1" s="7" t="s">
        <v>161</v>
      </c>
    </row>
    <row r="2" customFormat="false" ht="15" hidden="false" customHeight="false" outlineLevel="0" collapsed="false">
      <c r="A2" s="8" t="s">
        <v>162</v>
      </c>
      <c r="B2" s="8" t="s">
        <v>163</v>
      </c>
      <c r="C2" s="8" t="s">
        <v>164</v>
      </c>
      <c r="D2" s="8" t="s">
        <v>165</v>
      </c>
    </row>
    <row r="3" customFormat="false" ht="15" hidden="false" customHeight="false" outlineLevel="0" collapsed="false">
      <c r="A3" s="8" t="s">
        <v>166</v>
      </c>
      <c r="B3" s="8" t="s">
        <v>163</v>
      </c>
      <c r="C3" s="8" t="s">
        <v>167</v>
      </c>
      <c r="D3" s="8" t="s">
        <v>168</v>
      </c>
    </row>
    <row r="4" customFormat="false" ht="15" hidden="false" customHeight="false" outlineLevel="0" collapsed="false">
      <c r="A4" s="8" t="s">
        <v>169</v>
      </c>
      <c r="B4" s="8" t="s">
        <v>170</v>
      </c>
      <c r="C4" s="8" t="s">
        <v>171</v>
      </c>
      <c r="D4" s="8" t="s">
        <v>172</v>
      </c>
    </row>
    <row r="5" customFormat="false" ht="15" hidden="false" customHeight="false" outlineLevel="0" collapsed="false">
      <c r="A5" s="8" t="s">
        <v>173</v>
      </c>
      <c r="B5" s="8" t="s">
        <v>170</v>
      </c>
      <c r="C5" s="8" t="s">
        <v>174</v>
      </c>
      <c r="D5" s="8" t="s">
        <v>175</v>
      </c>
    </row>
    <row r="6" customFormat="false" ht="15" hidden="false" customHeight="false" outlineLevel="0" collapsed="false">
      <c r="A6" s="8" t="s">
        <v>176</v>
      </c>
      <c r="B6" s="8" t="s">
        <v>163</v>
      </c>
      <c r="C6" s="8" t="s">
        <v>177</v>
      </c>
      <c r="D6" s="8" t="s">
        <v>178</v>
      </c>
    </row>
    <row r="7" customFormat="false" ht="15" hidden="false" customHeight="false" outlineLevel="0" collapsed="false">
      <c r="A7" s="8" t="s">
        <v>179</v>
      </c>
      <c r="B7" s="8" t="s">
        <v>170</v>
      </c>
      <c r="C7" s="8" t="s">
        <v>180</v>
      </c>
      <c r="D7" s="8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2026-09-25T01:59:53Z</dcterms:created>
  <dc:creator>openpyxl</dc:creator>
  <dc:description/>
  <dc:language>en-US</dc:language>
  <cp:lastModifiedBy/>
  <dcterms:modified xsi:type="dcterms:W3CDTF">2026-09-25T01:59:53Z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