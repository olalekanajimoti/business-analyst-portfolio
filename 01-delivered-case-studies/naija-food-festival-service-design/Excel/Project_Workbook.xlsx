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ser Stories" sheetId="5" state="visible" r:id="rId5"/>
    <sheet xmlns:r="http://schemas.openxmlformats.org/officeDocument/2006/relationships" name="Stakeholders" sheetId="6" state="visible" r:id="rId6"/>
    <sheet xmlns:r="http://schemas.openxmlformats.org/officeDocument/2006/relationships" name="RAID" sheetId="7" state="visible" r:id="rId7"/>
    <sheet xmlns:r="http://schemas.openxmlformats.org/officeDocument/2006/relationships" name="UAT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Data Dictionary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5253D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64748B"/>
      <sz val="11"/>
    </font>
  </fonts>
  <fills count="3">
    <fill>
      <patternFill/>
    </fill>
    <fill>
      <patternFill patternType="gray125"/>
    </fill>
    <fill>
      <patternFill patternType="solid">
        <fgColor rgb="FF15253D"/>
        <bgColor rgb="FF003366"/>
      </patternFill>
    </fill>
  </fills>
  <borders count="2">
    <border>
      <left/>
      <right/>
      <top/>
      <bottom/>
      <diagonal/>
    </border>
    <border>
      <left style="thin">
        <color rgb="FFD5DDE8"/>
      </left>
      <right style="thin">
        <color rgb="FFD5DDE8"/>
      </right>
      <top style="thin">
        <color rgb="FFD5DDE8"/>
      </top>
      <bottom style="thin">
        <color rgb="FFD5DD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5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525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9" min="1" max="1"/>
    <col width="80" customWidth="1" style="9" min="2" max="2"/>
    <col width="16" customWidth="1" style="9" min="3" max="3"/>
  </cols>
  <sheetData>
    <row r="1" ht="17.35" customHeight="1" s="10">
      <c r="A1" s="11" t="inlineStr">
        <is>
          <t>NaijaFoodFestival Multi-user Registration Service</t>
        </is>
      </c>
    </row>
    <row r="2"/>
    <row r="3" ht="15" customHeight="1" s="10">
      <c r="A3" s="12" t="inlineStr">
        <is>
          <t>Status</t>
        </is>
      </c>
      <c r="B3" s="13" t="inlineStr">
        <is>
          <t>Delivered</t>
        </is>
      </c>
    </row>
    <row r="4" ht="15" customHeight="1" s="10">
      <c r="A4" s="12" t="inlineStr">
        <is>
          <t>Domain</t>
        </is>
      </c>
      <c r="B4" s="13" t="inlineStr">
        <is>
          <t>Events and hospitality</t>
        </is>
      </c>
    </row>
    <row r="5" ht="15" customHeight="1" s="10">
      <c r="A5" s="12" t="inlineStr">
        <is>
          <t>Role</t>
        </is>
      </c>
      <c r="B5" s="13" t="inlineStr">
        <is>
          <t>Product Owner and Business Analyst, HunterTV Africa</t>
        </is>
      </c>
    </row>
    <row r="6" ht="23.85" customHeight="1" s="10">
      <c r="A6" s="12" t="inlineStr">
        <is>
          <t>Business problem</t>
        </is>
      </c>
      <c r="B6" s="13" t="inlineStr">
        <is>
          <t>A single registration concept did not reflect the different information, approval and communication needs of attendees, vendors and volunteers.</t>
        </is>
      </c>
    </row>
    <row r="7"/>
    <row r="8"/>
    <row r="9" ht="15" customHeight="1" s="10">
      <c r="A9" s="14" t="inlineStr">
        <is>
          <t>Measure</t>
        </is>
      </c>
      <c r="B9" s="14" t="inlineStr">
        <is>
          <t>Value</t>
        </is>
      </c>
      <c r="C9" s="14" t="inlineStr">
        <is>
          <t>Source</t>
        </is>
      </c>
    </row>
    <row r="10" ht="15" customHeight="1" s="10">
      <c r="A10" s="15" t="inlineStr">
        <is>
          <t>Business requirements</t>
        </is>
      </c>
      <c r="B10" s="15">
        <f>COUNTA(Requirements!A2:A200)</f>
        <v/>
      </c>
      <c r="C10" s="15" t="inlineStr">
        <is>
          <t>Requirements</t>
        </is>
      </c>
    </row>
    <row r="11" ht="15" customHeight="1" s="10">
      <c r="A11" s="15" t="inlineStr">
        <is>
          <t>Must requirements</t>
        </is>
      </c>
      <c r="B11" s="15">
        <f>COUNTIF(Requirements!C2:C200,"Must")</f>
        <v/>
      </c>
      <c r="C11" s="15" t="inlineStr">
        <is>
          <t>Requirements</t>
        </is>
      </c>
    </row>
    <row r="12" ht="15" customHeight="1" s="10">
      <c r="A12" s="15" t="inlineStr">
        <is>
          <t>Should requirements</t>
        </is>
      </c>
      <c r="B12" s="15">
        <f>COUNTIF(Requirements!C2:C200,"Should")</f>
        <v/>
      </c>
      <c r="C12" s="15" t="inlineStr">
        <is>
          <t>Requirements</t>
        </is>
      </c>
    </row>
    <row r="13" ht="15" customHeight="1" s="10">
      <c r="A13" s="15" t="inlineStr">
        <is>
          <t>Functional requirements</t>
        </is>
      </c>
      <c r="B13" s="15">
        <f>COUNTA(Functional!A2:A200)</f>
        <v/>
      </c>
      <c r="C13" s="15" t="inlineStr">
        <is>
          <t>Functional</t>
        </is>
      </c>
    </row>
    <row r="14" ht="15" customHeight="1" s="10">
      <c r="A14" s="15" t="inlineStr">
        <is>
          <t>Requirements with a test</t>
        </is>
      </c>
      <c r="B14" s="15">
        <f>COUNTIF(Traceability!F2:F200,"&gt;0")</f>
        <v/>
      </c>
      <c r="C14" s="15" t="inlineStr">
        <is>
          <t>Traceability</t>
        </is>
      </c>
    </row>
    <row r="15" ht="15" customHeight="1" s="10">
      <c r="A15" s="15" t="inlineStr">
        <is>
          <t>Tests with status "Passed"</t>
        </is>
      </c>
      <c r="B15" s="15">
        <f>COUNTIF(UAT!F2:F200,"Passed")</f>
        <v/>
      </c>
      <c r="C15" s="15" t="inlineStr">
        <is>
          <t>UAT</t>
        </is>
      </c>
    </row>
    <row r="16" ht="15" customHeight="1" s="10">
      <c r="A16" s="15" t="inlineStr">
        <is>
          <t>High risks</t>
        </is>
      </c>
      <c r="B16" s="15">
        <f>COUNTIF(RAID!C2:C200,"High")</f>
        <v/>
      </c>
      <c r="C16" s="15" t="inlineStr">
        <is>
          <t>RAID</t>
        </is>
      </c>
    </row>
    <row r="17" ht="15" customHeight="1" s="10">
      <c r="A17" s="15" t="inlineStr">
        <is>
          <t>Stakeholder groups</t>
        </is>
      </c>
      <c r="B17" s="15">
        <f>COUNTA(Stakeholders!A2:A200)</f>
        <v/>
      </c>
      <c r="C17" s="15" t="inlineStr">
        <is>
          <t>Stakeholders</t>
        </is>
      </c>
    </row>
    <row r="18"/>
    <row r="19" ht="15" customHeight="1" s="10">
      <c r="A19" s="16" t="inlineStr">
        <is>
          <t>Counts are formulas and update when rows are added. Status values are recorded on the UAT sheet.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70" customWidth="1" style="9" min="2" max="2"/>
  </cols>
  <sheetData>
    <row r="1" ht="15" customHeight="1" s="10">
      <c r="A1" s="17" t="inlineStr">
        <is>
          <t>Objective ID</t>
        </is>
      </c>
      <c r="B1" s="17" t="inlineStr">
        <is>
          <t>Objective</t>
        </is>
      </c>
    </row>
    <row r="2" ht="15" customHeight="1" s="10">
      <c r="A2" s="18" t="inlineStr">
        <is>
          <t>OBJ-01</t>
        </is>
      </c>
      <c r="B2" s="18" t="inlineStr">
        <is>
          <t>Separate the three user journeys</t>
        </is>
      </c>
    </row>
    <row r="3" ht="15" customHeight="1" s="10">
      <c r="A3" s="18" t="inlineStr">
        <is>
          <t>OBJ-02</t>
        </is>
      </c>
      <c r="B3" s="18" t="inlineStr">
        <is>
          <t>Reduce incomplete records and manual follow-up</t>
        </is>
      </c>
    </row>
    <row r="4" ht="15" customHeight="1" s="10">
      <c r="A4" s="18" t="inlineStr">
        <is>
          <t>OBJ-03</t>
        </is>
      </c>
      <c r="B4" s="18" t="inlineStr">
        <is>
          <t>Give organisers status and exception visibility</t>
        </is>
      </c>
    </row>
    <row r="5" ht="15" customHeight="1" s="10">
      <c r="A5" s="18" t="inlineStr">
        <is>
          <t>OBJ-04</t>
        </is>
      </c>
      <c r="B5" s="18" t="inlineStr">
        <is>
          <t>Validate end-to-end communications before launch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55" customWidth="1" style="9" min="2" max="2"/>
    <col width="10" customWidth="1" style="9" min="3" max="3"/>
    <col width="13" customWidth="1" style="9" min="4" max="4"/>
    <col width="40" customWidth="1" style="9" min="5" max="5"/>
    <col width="55" customWidth="1" style="9" min="6" max="6"/>
  </cols>
  <sheetData>
    <row r="1" ht="15" customHeight="1" s="10">
      <c r="A1" s="17" t="inlineStr">
        <is>
          <t>ID</t>
        </is>
      </c>
      <c r="B1" s="17" t="inlineStr">
        <is>
          <t>Requirement</t>
        </is>
      </c>
      <c r="C1" s="17" t="inlineStr">
        <is>
          <t>Priority</t>
        </is>
      </c>
      <c r="D1" s="17" t="inlineStr">
        <is>
          <t>Objective ID</t>
        </is>
      </c>
      <c r="E1" s="17" t="inlineStr">
        <is>
          <t>Objective</t>
        </is>
      </c>
      <c r="F1" s="17" t="inlineStr">
        <is>
          <t>Acceptance criterion</t>
        </is>
      </c>
    </row>
    <row r="2" ht="15" customHeight="1" s="10">
      <c r="A2" s="18" t="inlineStr">
        <is>
          <t>BR-01</t>
        </is>
      </c>
      <c r="B2" s="18" t="inlineStr">
        <is>
          <t>Each user group follows a route relevant to its purpose</t>
        </is>
      </c>
      <c r="C2" s="18" t="inlineStr">
        <is>
          <t>Must</t>
        </is>
      </c>
      <c r="D2" s="18" t="inlineStr">
        <is>
          <t>OBJ-01</t>
        </is>
      </c>
      <c r="E2" s="18">
        <f>IFERROR(INDEX(Objectives!$B:$B,MATCH(D2,Objectives!$A:$A,0)),"Check objective ID")</f>
        <v/>
      </c>
      <c r="F2" s="18" t="inlineStr">
        <is>
          <t>Only relevant fields and guidance appear for the chosen route</t>
        </is>
      </c>
    </row>
    <row r="3" ht="23.85" customHeight="1" s="10">
      <c r="A3" s="18" t="inlineStr">
        <is>
          <t>BR-02</t>
        </is>
      </c>
      <c r="B3" s="18" t="inlineStr">
        <is>
          <t>Submissions cannot be completed with missing mandatory data</t>
        </is>
      </c>
      <c r="C3" s="18" t="inlineStr">
        <is>
          <t>Must</t>
        </is>
      </c>
      <c r="D3" s="18" t="inlineStr">
        <is>
          <t>OBJ-02</t>
        </is>
      </c>
      <c r="E3" s="18">
        <f>IFERROR(INDEX(Objectives!$B:$B,MATCH(D3,Objectives!$A:$A,0)),"Check objective ID")</f>
        <v/>
      </c>
      <c r="F3" s="18" t="inlineStr">
        <is>
          <t>Incomplete submissions are blocked with a clear correction message</t>
        </is>
      </c>
    </row>
    <row r="4" ht="15" customHeight="1" s="10">
      <c r="A4" s="18" t="inlineStr">
        <is>
          <t>BR-03</t>
        </is>
      </c>
      <c r="B4" s="18" t="inlineStr">
        <is>
          <t>Organisers can view every submission status</t>
        </is>
      </c>
      <c r="C4" s="18" t="inlineStr">
        <is>
          <t>Must</t>
        </is>
      </c>
      <c r="D4" s="18" t="inlineStr">
        <is>
          <t>OBJ-03</t>
        </is>
      </c>
      <c r="E4" s="18">
        <f>IFERROR(INDEX(Objectives!$B:$B,MATCH(D4,Objectives!$A:$A,0)),"Check objective ID")</f>
        <v/>
      </c>
      <c r="F4" s="18" t="inlineStr">
        <is>
          <t>Route, status, date and next action are visible for each record</t>
        </is>
      </c>
    </row>
    <row r="5" ht="23.85" customHeight="1" s="10">
      <c r="A5" s="18" t="inlineStr">
        <is>
          <t>BR-04</t>
        </is>
      </c>
      <c r="B5" s="18" t="inlineStr">
        <is>
          <t>Vendor decisions trigger the correct communication</t>
        </is>
      </c>
      <c r="C5" s="18" t="inlineStr">
        <is>
          <t>Must</t>
        </is>
      </c>
      <c r="D5" s="18" t="inlineStr">
        <is>
          <t>OBJ-04</t>
        </is>
      </c>
      <c r="E5" s="18">
        <f>IFERROR(INDEX(Objectives!$B:$B,MATCH(D5,Objectives!$A:$A,0)),"Check objective ID")</f>
        <v/>
      </c>
      <c r="F5" s="18" t="inlineStr">
        <is>
          <t>Message sent and record status agree</t>
        </is>
      </c>
    </row>
    <row r="6" ht="15" customHeight="1" s="10">
      <c r="A6" s="18" t="inlineStr">
        <is>
          <t>BR-05</t>
        </is>
      </c>
      <c r="B6" s="18" t="inlineStr">
        <is>
          <t>Volunteer allocation uses availability and need</t>
        </is>
      </c>
      <c r="C6" s="18" t="inlineStr">
        <is>
          <t>Should</t>
        </is>
      </c>
      <c r="D6" s="18" t="inlineStr">
        <is>
          <t>OBJ-03</t>
        </is>
      </c>
      <c r="E6" s="18">
        <f>IFERROR(INDEX(Objectives!$B:$B,MATCH(D6,Objectives!$A:$A,0)),"Check objective ID")</f>
        <v/>
      </c>
      <c r="F6" s="18" t="inlineStr">
        <is>
          <t>Allocation is visible to authorised organisers</t>
        </is>
      </c>
    </row>
    <row r="7" ht="23.85" customHeight="1" s="10">
      <c r="A7" s="18" t="inlineStr">
        <is>
          <t>BR-06</t>
        </is>
      </c>
      <c r="B7" s="18" t="inlineStr">
        <is>
          <t>Attendees receive purchase or registration confirmation</t>
        </is>
      </c>
      <c r="C7" s="18" t="inlineStr">
        <is>
          <t>Must</t>
        </is>
      </c>
      <c r="D7" s="18" t="inlineStr">
        <is>
          <t>OBJ-04</t>
        </is>
      </c>
      <c r="E7" s="18">
        <f>IFERROR(INDEX(Objectives!$B:$B,MATCH(D7,Objectives!$A:$A,0)),"Check objective ID")</f>
        <v/>
      </c>
      <c r="F7" s="18" t="inlineStr">
        <is>
          <t>Confirmation and transaction status are recorded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9" min="1" max="1"/>
    <col width="11" customWidth="1" style="9" min="2" max="2"/>
    <col width="60" customWidth="1" style="9" min="3" max="3"/>
    <col width="55" customWidth="1" style="9" min="4" max="4"/>
  </cols>
  <sheetData>
    <row r="1" ht="1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System behaviour</t>
        </is>
      </c>
      <c r="D1" s="17" t="inlineStr">
        <is>
          <t>Business rule or validation</t>
        </is>
      </c>
    </row>
    <row r="2" ht="15" customHeight="1" s="10">
      <c r="A2" s="18" t="inlineStr">
        <is>
          <t>FR-01</t>
        </is>
      </c>
      <c r="B2" s="18" t="inlineStr">
        <is>
          <t>BR-01</t>
        </is>
      </c>
      <c r="C2" s="18" t="inlineStr">
        <is>
          <t>Landing page asks the visitor to choose attendee, vendor or volunteer</t>
        </is>
      </c>
      <c r="D2" s="18" t="inlineStr">
        <is>
          <t>Choice loads the matching form only</t>
        </is>
      </c>
    </row>
    <row r="3" ht="23.85" customHeight="1" s="10">
      <c r="A3" s="18" t="inlineStr">
        <is>
          <t>FR-02</t>
        </is>
      </c>
      <c r="B3" s="18" t="inlineStr">
        <is>
          <t>BR-02</t>
        </is>
      </c>
      <c r="C3" s="18" t="inlineStr">
        <is>
          <t>Mandatory fields are validated before submission</t>
        </is>
      </c>
      <c r="D3" s="18" t="inlineStr">
        <is>
          <t>Vendor: business name, category, food-safety evidence; Volunteer: availability</t>
        </is>
      </c>
    </row>
    <row r="4" ht="23.85" customHeight="1" s="10">
      <c r="A4" s="18" t="inlineStr">
        <is>
          <t>FR-03</t>
        </is>
      </c>
      <c r="B4" s="18" t="inlineStr">
        <is>
          <t>BR-03</t>
        </is>
      </c>
      <c r="C4" s="18" t="inlineStr">
        <is>
          <t>Every submission creates a record with route, status, owner and next action</t>
        </is>
      </c>
      <c r="D4" s="18" t="inlineStr">
        <is>
          <t>Status values: Submitted, Under review, Approved, Declined, Allocated</t>
        </is>
      </c>
    </row>
    <row r="5" ht="15" customHeight="1" s="10">
      <c r="A5" s="18" t="inlineStr">
        <is>
          <t>FR-04</t>
        </is>
      </c>
      <c r="B5" s="18" t="inlineStr">
        <is>
          <t>BR-04</t>
        </is>
      </c>
      <c r="C5" s="18" t="inlineStr">
        <is>
          <t>Approve or decline action sends the matching template</t>
        </is>
      </c>
      <c r="D5" s="18" t="inlineStr">
        <is>
          <t>Message is only sent after the status update succeeds</t>
        </is>
      </c>
    </row>
    <row r="6" ht="15" customHeight="1" s="10">
      <c r="A6" s="18" t="inlineStr">
        <is>
          <t>FR-05</t>
        </is>
      </c>
      <c r="B6" s="18" t="inlineStr">
        <is>
          <t>BR-05</t>
        </is>
      </c>
      <c r="C6" s="18" t="inlineStr">
        <is>
          <t>Volunteer records hold availability slots and allocated role</t>
        </is>
      </c>
      <c r="D6" s="18" t="inlineStr">
        <is>
          <t>A volunteer cannot be allocated to overlapping slots</t>
        </is>
      </c>
    </row>
    <row r="7" ht="15" customHeight="1" s="10">
      <c r="A7" s="18" t="inlineStr">
        <is>
          <t>FR-06</t>
        </is>
      </c>
      <c r="B7" s="18" t="inlineStr">
        <is>
          <t>BR-06</t>
        </is>
      </c>
      <c r="C7" s="18" t="inlineStr">
        <is>
          <t>Ticket purchase returns a confirmation email with ticket reference</t>
        </is>
      </c>
      <c r="D7" s="18" t="inlineStr">
        <is>
          <t>Failed payments do not generate a ticket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10" customWidth="1" style="9" min="2" max="2"/>
    <col width="22" customWidth="1" style="9" min="3" max="3"/>
    <col width="35" customWidth="1" style="9" min="4" max="5"/>
    <col width="30" customWidth="1" style="9" min="6" max="6"/>
    <col width="28" customWidth="1" style="9" min="7" max="7"/>
    <col width="40" customWidth="1" style="9" min="8" max="8"/>
  </cols>
  <sheetData>
    <row r="1" ht="26.85" customHeight="1" s="10">
      <c r="A1" s="17" t="inlineStr">
        <is>
          <t>ID</t>
        </is>
      </c>
      <c r="B1" s="17" t="inlineStr">
        <is>
          <t>Parent BR</t>
        </is>
      </c>
      <c r="C1" s="17" t="inlineStr">
        <is>
          <t>As a</t>
        </is>
      </c>
      <c r="D1" s="17" t="inlineStr">
        <is>
          <t>I want</t>
        </is>
      </c>
      <c r="E1" s="17" t="inlineStr">
        <is>
          <t>So that</t>
        </is>
      </c>
      <c r="F1" s="17" t="inlineStr">
        <is>
          <t>Given</t>
        </is>
      </c>
      <c r="G1" s="17" t="inlineStr">
        <is>
          <t>When</t>
        </is>
      </c>
      <c r="H1" s="17" t="inlineStr">
        <is>
          <t>Then</t>
        </is>
      </c>
    </row>
    <row r="2" ht="23.85" customHeight="1" s="10">
      <c r="A2" s="18" t="inlineStr">
        <is>
          <t>US-01</t>
        </is>
      </c>
      <c r="B2" s="18" t="inlineStr">
        <is>
          <t>BR-01</t>
        </is>
      </c>
      <c r="C2" s="18" t="inlineStr">
        <is>
          <t>vendor</t>
        </is>
      </c>
      <c r="D2" s="18" t="inlineStr">
        <is>
          <t>an application that only asks what vendors need</t>
        </is>
      </c>
      <c r="E2" s="18" t="inlineStr">
        <is>
          <t>I can apply quickly and correctly</t>
        </is>
      </c>
      <c r="F2" s="18" t="inlineStr">
        <is>
          <t>I choose Vendor on the landing page</t>
        </is>
      </c>
      <c r="G2" s="18" t="inlineStr">
        <is>
          <t>the form loads</t>
        </is>
      </c>
      <c r="H2" s="18" t="inlineStr">
        <is>
          <t>I see vendor fields and guidance only</t>
        </is>
      </c>
    </row>
    <row r="3" ht="23.85" customHeight="1" s="10">
      <c r="A3" s="18" t="inlineStr">
        <is>
          <t>US-02</t>
        </is>
      </c>
      <c r="B3" s="18" t="inlineStr">
        <is>
          <t>BR-04</t>
        </is>
      </c>
      <c r="C3" s="18" t="inlineStr">
        <is>
          <t>organiser</t>
        </is>
      </c>
      <c r="D3" s="18" t="inlineStr">
        <is>
          <t>decision emails sent from the record</t>
        </is>
      </c>
      <c r="E3" s="18" t="inlineStr">
        <is>
          <t>vendors never get a message that contradicts our records</t>
        </is>
      </c>
      <c r="F3" s="18" t="inlineStr">
        <is>
          <t>a vendor application is under review</t>
        </is>
      </c>
      <c r="G3" s="18" t="inlineStr">
        <is>
          <t>I mark it Approved</t>
        </is>
      </c>
      <c r="H3" s="18" t="inlineStr">
        <is>
          <t>the status updates and the approval email is sent</t>
        </is>
      </c>
    </row>
    <row r="4" ht="23.85" customHeight="1" s="10">
      <c r="A4" s="18" t="inlineStr">
        <is>
          <t>US-03</t>
        </is>
      </c>
      <c r="B4" s="18" t="inlineStr">
        <is>
          <t>BR-03</t>
        </is>
      </c>
      <c r="C4" s="18" t="inlineStr">
        <is>
          <t>organiser</t>
        </is>
      </c>
      <c r="D4" s="18" t="inlineStr">
        <is>
          <t>one view of all submissions and their next action</t>
        </is>
      </c>
      <c r="E4" s="18" t="inlineStr">
        <is>
          <t>nothing is missed before the event</t>
        </is>
      </c>
      <c r="F4" s="18" t="inlineStr">
        <is>
          <t>submissions exist across all three routes</t>
        </is>
      </c>
      <c r="G4" s="18" t="inlineStr">
        <is>
          <t>I open the status view</t>
        </is>
      </c>
      <c r="H4" s="18" t="inlineStr">
        <is>
          <t>each record shows route, status, date and owner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9" min="1" max="1"/>
    <col width="11" customWidth="1" style="9" min="2" max="2"/>
    <col width="10" customWidth="1" style="9" min="3" max="3"/>
    <col width="32" customWidth="1" style="9" min="4" max="6"/>
    <col width="22" customWidth="1" style="9" min="7" max="7"/>
    <col width="16" customWidth="1" style="9" min="8" max="8"/>
  </cols>
  <sheetData>
    <row r="1" ht="15" customHeight="1" s="10">
      <c r="A1" s="17" t="inlineStr">
        <is>
          <t>Stakeholder</t>
        </is>
      </c>
      <c r="B1" s="17" t="inlineStr">
        <is>
          <t>Influence</t>
        </is>
      </c>
      <c r="C1" s="17" t="inlineStr">
        <is>
          <t>Interest</t>
        </is>
      </c>
      <c r="D1" s="17" t="inlineStr">
        <is>
          <t>Primary interest</t>
        </is>
      </c>
      <c r="E1" s="17" t="inlineStr">
        <is>
          <t>Information need</t>
        </is>
      </c>
      <c r="F1" s="17" t="inlineStr">
        <is>
          <t>Method</t>
        </is>
      </c>
      <c r="G1" s="17" t="inlineStr">
        <is>
          <t>Cadence</t>
        </is>
      </c>
      <c r="H1" s="17" t="inlineStr">
        <is>
          <t>Approach</t>
        </is>
      </c>
    </row>
    <row r="2" ht="23.85" customHeight="1" s="10">
      <c r="A2" s="18" t="inlineStr">
        <is>
          <t>Event organisers</t>
        </is>
      </c>
      <c r="B2" s="18" t="inlineStr">
        <is>
          <t>High</t>
        </is>
      </c>
      <c r="C2" s="18" t="inlineStr">
        <is>
          <t>High</t>
        </is>
      </c>
      <c r="D2" s="18" t="inlineStr">
        <is>
          <t>Operational control and reporting</t>
        </is>
      </c>
      <c r="E2" s="18" t="inlineStr">
        <is>
          <t>Status, exceptions, decisions</t>
        </is>
      </c>
      <c r="F2" s="18" t="inlineStr">
        <is>
          <t>Status review and decision log</t>
        </is>
      </c>
      <c r="G2" s="18" t="inlineStr">
        <is>
          <t>Twice weekly before launch</t>
        </is>
      </c>
      <c r="H2" s="18" t="inlineStr">
        <is>
          <t>Manage closely</t>
        </is>
      </c>
    </row>
    <row r="3" ht="23.85" customHeight="1" s="10">
      <c r="A3" s="18" t="inlineStr">
        <is>
          <t>Attendees</t>
        </is>
      </c>
      <c r="B3" s="18" t="inlineStr">
        <is>
          <t>Low</t>
        </is>
      </c>
      <c r="C3" s="18" t="inlineStr">
        <is>
          <t>High</t>
        </is>
      </c>
      <c r="D3" s="18" t="inlineStr">
        <is>
          <t>Simple purchase and communication</t>
        </is>
      </c>
      <c r="E3" s="18" t="inlineStr">
        <is>
          <t>Ticket and event information</t>
        </is>
      </c>
      <c r="F3" s="18" t="inlineStr">
        <is>
          <t>Website content and confirmation email</t>
        </is>
      </c>
      <c r="G3" s="18" t="inlineStr">
        <is>
          <t>At purchase and event updates</t>
        </is>
      </c>
      <c r="H3" s="18" t="inlineStr">
        <is>
          <t>Keep informed</t>
        </is>
      </c>
    </row>
    <row r="4" ht="23.85" customHeight="1" s="10">
      <c r="A4" s="18" t="inlineStr">
        <is>
          <t>Vendors</t>
        </is>
      </c>
      <c r="B4" s="18" t="inlineStr">
        <is>
          <t>Medium</t>
        </is>
      </c>
      <c r="C4" s="18" t="inlineStr">
        <is>
          <t>High</t>
        </is>
      </c>
      <c r="D4" s="18" t="inlineStr">
        <is>
          <t>Transparent application and decision</t>
        </is>
      </c>
      <c r="E4" s="18" t="inlineStr">
        <is>
          <t>Requirements, decision, next steps</t>
        </is>
      </c>
      <c r="F4" s="18" t="inlineStr">
        <is>
          <t>Application guidance and decision email</t>
        </is>
      </c>
      <c r="G4" s="18" t="inlineStr">
        <is>
          <t>At application and decision</t>
        </is>
      </c>
      <c r="H4" s="18" t="inlineStr">
        <is>
          <t>Keep informed</t>
        </is>
      </c>
    </row>
    <row r="5" ht="23.85" customHeight="1" s="10">
      <c r="A5" s="18" t="inlineStr">
        <is>
          <t>Volunteers</t>
        </is>
      </c>
      <c r="B5" s="18" t="inlineStr">
        <is>
          <t>Low</t>
        </is>
      </c>
      <c r="C5" s="18" t="inlineStr">
        <is>
          <t>High</t>
        </is>
      </c>
      <c r="D5" s="18" t="inlineStr">
        <is>
          <t>Clear allocation and instructions</t>
        </is>
      </c>
      <c r="E5" s="18" t="inlineStr">
        <is>
          <t>Role, shift, briefing</t>
        </is>
      </c>
      <c r="F5" s="18" t="inlineStr">
        <is>
          <t>Allocation email and briefing pack</t>
        </is>
      </c>
      <c r="G5" s="18" t="inlineStr">
        <is>
          <t>At allocation and event week</t>
        </is>
      </c>
      <c r="H5" s="18" t="inlineStr">
        <is>
          <t>Keep informed</t>
        </is>
      </c>
    </row>
    <row r="6" ht="15" customHeight="1" s="10">
      <c r="A6" s="18" t="inlineStr">
        <is>
          <t>Developers and creatives</t>
        </is>
      </c>
      <c r="B6" s="18" t="inlineStr">
        <is>
          <t>High</t>
        </is>
      </c>
      <c r="C6" s="18" t="inlineStr">
        <is>
          <t>Medium</t>
        </is>
      </c>
      <c r="D6" s="18" t="inlineStr">
        <is>
          <t>Agreed journeys, content and rules</t>
        </is>
      </c>
      <c r="E6" s="18" t="inlineStr">
        <is>
          <t>Journey maps, field lists, templates</t>
        </is>
      </c>
      <c r="F6" s="18" t="inlineStr">
        <is>
          <t>Build brief and review session</t>
        </is>
      </c>
      <c r="G6" s="18" t="inlineStr">
        <is>
          <t>Each build cycle</t>
        </is>
      </c>
      <c r="H6" s="18" t="inlineStr">
        <is>
          <t>Keep satisfied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9" min="1" max="1"/>
    <col width="42" customWidth="1" style="9" min="2" max="2"/>
    <col width="10" customWidth="1" style="9" min="3" max="3"/>
    <col width="42" customWidth="1" style="9" min="4" max="4"/>
    <col width="22" customWidth="1" style="9" min="5" max="5"/>
  </cols>
  <sheetData>
    <row r="1" ht="15" customHeight="1" s="10">
      <c r="A1" s="17" t="inlineStr">
        <is>
          <t>ID</t>
        </is>
      </c>
      <c r="B1" s="17" t="inlineStr">
        <is>
          <t>Risk</t>
        </is>
      </c>
      <c r="C1" s="17" t="inlineStr">
        <is>
          <t>Severity</t>
        </is>
      </c>
      <c r="D1" s="17" t="inlineStr">
        <is>
          <t>Response</t>
        </is>
      </c>
      <c r="E1" s="17" t="inlineStr">
        <is>
          <t>Owner</t>
        </is>
      </c>
    </row>
    <row r="2" ht="15" customHeight="1" s="10">
      <c r="A2" s="18" t="inlineStr">
        <is>
          <t>R-01</t>
        </is>
      </c>
      <c r="B2" s="18" t="inlineStr">
        <is>
          <t>One form collects irrelevant information</t>
        </is>
      </c>
      <c r="C2" s="18" t="inlineStr">
        <is>
          <t>High</t>
        </is>
      </c>
      <c r="D2" s="18" t="inlineStr">
        <is>
          <t>Separate routes by purpose</t>
        </is>
      </c>
      <c r="E2" s="18" t="inlineStr">
        <is>
          <t>Business analyst</t>
        </is>
      </c>
    </row>
    <row r="3" ht="15" customHeight="1" s="10">
      <c r="A3" s="18" t="inlineStr">
        <is>
          <t>R-02</t>
        </is>
      </c>
      <c r="B3" s="18" t="inlineStr">
        <is>
          <t>Email and record status diverge</t>
        </is>
      </c>
      <c r="C3" s="18" t="inlineStr">
        <is>
          <t>High</t>
        </is>
      </c>
      <c r="D3" s="18" t="inlineStr">
        <is>
          <t>Send only after status update; trigger tests</t>
        </is>
      </c>
      <c r="E3" s="18" t="inlineStr">
        <is>
          <t>Developer</t>
        </is>
      </c>
    </row>
    <row r="4" ht="15" customHeight="1" s="10">
      <c r="A4" s="18" t="inlineStr">
        <is>
          <t>R-03</t>
        </is>
      </c>
      <c r="B4" s="18" t="inlineStr">
        <is>
          <t>Vendor approval rules are incomplete</t>
        </is>
      </c>
      <c r="C4" s="18" t="inlineStr">
        <is>
          <t>Medium</t>
        </is>
      </c>
      <c r="D4" s="18" t="inlineStr">
        <is>
          <t>Decision checkpoint with organisers</t>
        </is>
      </c>
      <c r="E4" s="18" t="inlineStr">
        <is>
          <t>Event organiser</t>
        </is>
      </c>
    </row>
    <row r="5" ht="15" customHeight="1" s="10">
      <c r="A5" s="18" t="inlineStr">
        <is>
          <t>R-04</t>
        </is>
      </c>
      <c r="B5" s="18" t="inlineStr">
        <is>
          <t>Ticketing or email service is unavailable</t>
        </is>
      </c>
      <c r="C5" s="18" t="inlineStr">
        <is>
          <t>Medium</t>
        </is>
      </c>
      <c r="D5" s="18" t="inlineStr">
        <is>
          <t>Fallback communication and manual list</t>
        </is>
      </c>
      <c r="E5" s="18" t="inlineStr">
        <is>
          <t>Project manager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9" min="1" max="1"/>
    <col width="12" customWidth="1" style="9" min="2" max="2"/>
    <col width="36" customWidth="1" style="9" min="3" max="3"/>
    <col width="34" customWidth="1" style="9" min="4" max="4"/>
    <col width="44" customWidth="1" style="9" min="5" max="5"/>
    <col width="26" customWidth="1" style="9" min="6" max="6"/>
  </cols>
  <sheetData>
    <row r="1" ht="26.85" customHeight="1" s="10">
      <c r="A1" s="17" t="inlineStr">
        <is>
          <t>Test ID</t>
        </is>
      </c>
      <c r="B1" s="17" t="inlineStr">
        <is>
          <t>Requirement</t>
        </is>
      </c>
      <c r="C1" s="17" t="inlineStr">
        <is>
          <t>Given</t>
        </is>
      </c>
      <c r="D1" s="17" t="inlineStr">
        <is>
          <t>When</t>
        </is>
      </c>
      <c r="E1" s="17" t="inlineStr">
        <is>
          <t>Then</t>
        </is>
      </c>
      <c r="F1" s="17" t="inlineStr">
        <is>
          <t>Status</t>
        </is>
      </c>
    </row>
    <row r="2" ht="15" customHeight="1" s="10">
      <c r="A2" s="18" t="inlineStr">
        <is>
          <t>UAT-01</t>
        </is>
      </c>
      <c r="B2" s="18" t="inlineStr">
        <is>
          <t>BR-01</t>
        </is>
      </c>
      <c r="C2" s="18" t="inlineStr">
        <is>
          <t>a visitor on the landing page</t>
        </is>
      </c>
      <c r="D2" s="18" t="inlineStr">
        <is>
          <t>they choose Volunteer</t>
        </is>
      </c>
      <c r="E2" s="18" t="inlineStr">
        <is>
          <t>only volunteer fields and guidance load</t>
        </is>
      </c>
      <c r="F2" s="18" t="inlineStr">
        <is>
          <t>Passed</t>
        </is>
      </c>
    </row>
    <row r="3" ht="15" customHeight="1" s="10">
      <c r="A3" s="18" t="inlineStr">
        <is>
          <t>UAT-02</t>
        </is>
      </c>
      <c r="B3" s="18" t="inlineStr">
        <is>
          <t>BR-02</t>
        </is>
      </c>
      <c r="C3" s="18" t="inlineStr">
        <is>
          <t>a vendor leaves food-safety evidence empty</t>
        </is>
      </c>
      <c r="D3" s="18" t="inlineStr">
        <is>
          <t>they submit</t>
        </is>
      </c>
      <c r="E3" s="18" t="inlineStr">
        <is>
          <t>submission is blocked with a correction message</t>
        </is>
      </c>
      <c r="F3" s="18" t="inlineStr">
        <is>
          <t>Passed</t>
        </is>
      </c>
    </row>
    <row r="4" ht="15" customHeight="1" s="10">
      <c r="A4" s="18" t="inlineStr">
        <is>
          <t>UAT-03</t>
        </is>
      </c>
      <c r="B4" s="18" t="inlineStr">
        <is>
          <t>BR-03</t>
        </is>
      </c>
      <c r="C4" s="18" t="inlineStr">
        <is>
          <t>records exist in all three routes</t>
        </is>
      </c>
      <c r="D4" s="18" t="inlineStr">
        <is>
          <t>an organiser opens the status view</t>
        </is>
      </c>
      <c r="E4" s="18" t="inlineStr">
        <is>
          <t>route, status, date and next action show for each</t>
        </is>
      </c>
      <c r="F4" s="18" t="inlineStr">
        <is>
          <t>Passed</t>
        </is>
      </c>
    </row>
    <row r="5" ht="15" customHeight="1" s="10">
      <c r="A5" s="18" t="inlineStr">
        <is>
          <t>UAT-04</t>
        </is>
      </c>
      <c r="B5" s="18" t="inlineStr">
        <is>
          <t>BR-04</t>
        </is>
      </c>
      <c r="C5" s="18" t="inlineStr">
        <is>
          <t>a vendor record under review</t>
        </is>
      </c>
      <c r="D5" s="18" t="inlineStr">
        <is>
          <t>the organiser approves it</t>
        </is>
      </c>
      <c r="E5" s="18" t="inlineStr">
        <is>
          <t>status changes and the approval email is sent once</t>
        </is>
      </c>
      <c r="F5" s="18" t="inlineStr">
        <is>
          <t>Passed</t>
        </is>
      </c>
    </row>
    <row r="6" ht="23.85" customHeight="1" s="10">
      <c r="A6" s="18" t="inlineStr">
        <is>
          <t>UAT-05</t>
        </is>
      </c>
      <c r="B6" s="18" t="inlineStr">
        <is>
          <t>BR-05</t>
        </is>
      </c>
      <c r="C6" s="18" t="inlineStr">
        <is>
          <t>a volunteer with one availability slot</t>
        </is>
      </c>
      <c r="D6" s="18" t="inlineStr">
        <is>
          <t>an organiser allocates two overlapping shifts</t>
        </is>
      </c>
      <c r="E6" s="18" t="inlineStr">
        <is>
          <t>the second allocation is rejected</t>
        </is>
      </c>
      <c r="F6" s="18" t="inlineStr">
        <is>
          <t>Passed</t>
        </is>
      </c>
    </row>
    <row r="7" ht="15" customHeight="1" s="10">
      <c r="A7" s="18" t="inlineStr">
        <is>
          <t>UAT-06</t>
        </is>
      </c>
      <c r="B7" s="18" t="inlineStr">
        <is>
          <t>BR-06</t>
        </is>
      </c>
      <c r="C7" s="18" t="inlineStr">
        <is>
          <t>an attendee completes payment</t>
        </is>
      </c>
      <c r="D7" s="18" t="inlineStr">
        <is>
          <t>the transaction succeeds</t>
        </is>
      </c>
      <c r="E7" s="18" t="inlineStr">
        <is>
          <t>confirmation email with ticket reference is received</t>
        </is>
      </c>
      <c r="F7" s="18" t="inlineStr">
        <is>
          <t>Passed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9" min="1" max="2"/>
    <col width="26" customWidth="1" style="9" min="3" max="3"/>
    <col width="16" customWidth="1" style="9" min="4" max="4"/>
    <col width="22" customWidth="1" style="9" min="5" max="5"/>
    <col width="16" customWidth="1" style="9" min="6" max="6"/>
  </cols>
  <sheetData>
    <row r="1" ht="26.85" customHeight="1" s="10">
      <c r="A1" s="17" t="inlineStr">
        <is>
          <t>Requirement</t>
        </is>
      </c>
      <c r="B1" s="17" t="inlineStr">
        <is>
          <t>Objective ID</t>
        </is>
      </c>
      <c r="C1" s="17" t="inlineStr">
        <is>
          <t>Functional requirements</t>
        </is>
      </c>
      <c r="D1" s="17" t="inlineStr">
        <is>
          <t>User stories</t>
        </is>
      </c>
      <c r="E1" s="17" t="inlineStr">
        <is>
          <t>Test IDs</t>
        </is>
      </c>
      <c r="F1" s="17" t="inlineStr">
        <is>
          <t>Number of tests</t>
        </is>
      </c>
    </row>
    <row r="2" ht="15" customHeight="1" s="10">
      <c r="A2" s="18" t="inlineStr">
        <is>
          <t>BR-01</t>
        </is>
      </c>
      <c r="B2" s="18">
        <f>IFERROR(INDEX(Requirements!$D:$D,MATCH(A2,Requirements!$A:$A,0)),"")</f>
        <v/>
      </c>
      <c r="C2" s="18" t="inlineStr">
        <is>
          <t>FR-01</t>
        </is>
      </c>
      <c r="D2" s="18" t="inlineStr">
        <is>
          <t>US-01</t>
        </is>
      </c>
      <c r="E2" s="18" t="inlineStr">
        <is>
          <t>UAT-01</t>
        </is>
      </c>
      <c r="F2" s="18">
        <f>COUNTIF(UAT!$B:$B,A2)</f>
        <v/>
      </c>
    </row>
    <row r="3" ht="15" customHeight="1" s="10">
      <c r="A3" s="18" t="inlineStr">
        <is>
          <t>BR-02</t>
        </is>
      </c>
      <c r="B3" s="18">
        <f>IFERROR(INDEX(Requirements!$D:$D,MATCH(A3,Requirements!$A:$A,0)),"")</f>
        <v/>
      </c>
      <c r="C3" s="18" t="inlineStr">
        <is>
          <t>FR-02</t>
        </is>
      </c>
      <c r="D3" s="18" t="inlineStr">
        <is>
          <t>None</t>
        </is>
      </c>
      <c r="E3" s="18" t="inlineStr">
        <is>
          <t>UAT-02</t>
        </is>
      </c>
      <c r="F3" s="18">
        <f>COUNTIF(UAT!$B:$B,A3)</f>
        <v/>
      </c>
    </row>
    <row r="4" ht="15" customHeight="1" s="10">
      <c r="A4" s="18" t="inlineStr">
        <is>
          <t>BR-03</t>
        </is>
      </c>
      <c r="B4" s="18">
        <f>IFERROR(INDEX(Requirements!$D:$D,MATCH(A4,Requirements!$A:$A,0)),"")</f>
        <v/>
      </c>
      <c r="C4" s="18" t="inlineStr">
        <is>
          <t>FR-03</t>
        </is>
      </c>
      <c r="D4" s="18" t="inlineStr">
        <is>
          <t>US-03</t>
        </is>
      </c>
      <c r="E4" s="18" t="inlineStr">
        <is>
          <t>UAT-03</t>
        </is>
      </c>
      <c r="F4" s="18">
        <f>COUNTIF(UAT!$B:$B,A4)</f>
        <v/>
      </c>
    </row>
    <row r="5" ht="15" customHeight="1" s="10">
      <c r="A5" s="18" t="inlineStr">
        <is>
          <t>BR-04</t>
        </is>
      </c>
      <c r="B5" s="18">
        <f>IFERROR(INDEX(Requirements!$D:$D,MATCH(A5,Requirements!$A:$A,0)),"")</f>
        <v/>
      </c>
      <c r="C5" s="18" t="inlineStr">
        <is>
          <t>FR-04</t>
        </is>
      </c>
      <c r="D5" s="18" t="inlineStr">
        <is>
          <t>US-02</t>
        </is>
      </c>
      <c r="E5" s="18" t="inlineStr">
        <is>
          <t>UAT-04</t>
        </is>
      </c>
      <c r="F5" s="18">
        <f>COUNTIF(UAT!$B:$B,A5)</f>
        <v/>
      </c>
    </row>
    <row r="6" ht="15" customHeight="1" s="10">
      <c r="A6" s="18" t="inlineStr">
        <is>
          <t>BR-05</t>
        </is>
      </c>
      <c r="B6" s="18">
        <f>IFERROR(INDEX(Requirements!$D:$D,MATCH(A6,Requirements!$A:$A,0)),"")</f>
        <v/>
      </c>
      <c r="C6" s="18" t="inlineStr">
        <is>
          <t>FR-05</t>
        </is>
      </c>
      <c r="D6" s="18" t="inlineStr">
        <is>
          <t>None</t>
        </is>
      </c>
      <c r="E6" s="18" t="inlineStr">
        <is>
          <t>UAT-05</t>
        </is>
      </c>
      <c r="F6" s="18">
        <f>COUNTIF(UAT!$B:$B,A6)</f>
        <v/>
      </c>
    </row>
    <row r="7" ht="15" customHeight="1" s="10">
      <c r="A7" s="18" t="inlineStr">
        <is>
          <t>BR-06</t>
        </is>
      </c>
      <c r="B7" s="18">
        <f>IFERROR(INDEX(Requirements!$D:$D,MATCH(A7,Requirements!$A:$A,0)),"")</f>
        <v/>
      </c>
      <c r="C7" s="18" t="inlineStr">
        <is>
          <t>FR-06</t>
        </is>
      </c>
      <c r="D7" s="18" t="inlineStr">
        <is>
          <t>None</t>
        </is>
      </c>
      <c r="E7" s="18" t="inlineStr">
        <is>
          <t>UAT-06</t>
        </is>
      </c>
      <c r="F7" s="18">
        <f>COUNTIF(UAT!$B:$B,A7)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9" min="1" max="1"/>
    <col width="12" customWidth="1" style="9" min="2" max="2"/>
    <col width="38" customWidth="1" style="9" min="3" max="3"/>
    <col width="45" customWidth="1" style="9" min="4" max="4"/>
  </cols>
  <sheetData>
    <row r="1" ht="15" customHeight="1" s="10">
      <c r="A1" s="17" t="inlineStr">
        <is>
          <t>Field</t>
        </is>
      </c>
      <c r="B1" s="17" t="inlineStr">
        <is>
          <t>Type</t>
        </is>
      </c>
      <c r="C1" s="17" t="inlineStr">
        <is>
          <t>Definition</t>
        </is>
      </c>
      <c r="D1" s="17" t="inlineStr">
        <is>
          <t>Allowed values</t>
        </is>
      </c>
    </row>
    <row r="2" ht="15" customHeight="1" s="10">
      <c r="A2" s="18" t="inlineStr">
        <is>
          <t>submission_id</t>
        </is>
      </c>
      <c r="B2" s="18" t="inlineStr">
        <is>
          <t>Text</t>
        </is>
      </c>
      <c r="C2" s="18" t="inlineStr">
        <is>
          <t>Unique application or registration</t>
        </is>
      </c>
      <c r="D2" s="18" t="inlineStr">
        <is>
          <t>NFF-0001 format</t>
        </is>
      </c>
    </row>
    <row r="3" ht="15" customHeight="1" s="10">
      <c r="A3" s="18" t="inlineStr">
        <is>
          <t>user_route</t>
        </is>
      </c>
      <c r="B3" s="18" t="inlineStr">
        <is>
          <t>Category</t>
        </is>
      </c>
      <c r="C3" s="18" t="inlineStr">
        <is>
          <t>Journey chosen</t>
        </is>
      </c>
      <c r="D3" s="18" t="inlineStr">
        <is>
          <t>Attendee, Vendor, Volunteer</t>
        </is>
      </c>
    </row>
    <row r="4" ht="23.85" customHeight="1" s="10">
      <c r="A4" s="18" t="inlineStr">
        <is>
          <t>submission_status</t>
        </is>
      </c>
      <c r="B4" s="18" t="inlineStr">
        <is>
          <t>Category</t>
        </is>
      </c>
      <c r="C4" s="18" t="inlineStr">
        <is>
          <t>Current workflow status</t>
        </is>
      </c>
      <c r="D4" s="18" t="inlineStr">
        <is>
          <t>Submitted, Under review, Approved, Declined, Allocated</t>
        </is>
      </c>
    </row>
    <row r="5" ht="15" customHeight="1" s="10">
      <c r="A5" s="18" t="inlineStr">
        <is>
          <t>decision_by</t>
        </is>
      </c>
      <c r="B5" s="18" t="inlineStr">
        <is>
          <t>Text</t>
        </is>
      </c>
      <c r="C5" s="18" t="inlineStr">
        <is>
          <t>Organiser who made the decision</t>
        </is>
      </c>
      <c r="D5" s="18" t="inlineStr">
        <is>
          <t>Named organiser</t>
        </is>
      </c>
    </row>
    <row r="6" ht="15" customHeight="1" s="10">
      <c r="A6" s="18" t="inlineStr">
        <is>
          <t>confirmation_sent</t>
        </is>
      </c>
      <c r="B6" s="18" t="inlineStr">
        <is>
          <t>Boolean</t>
        </is>
      </c>
      <c r="C6" s="18" t="inlineStr">
        <is>
          <t>Communication delivery status</t>
        </is>
      </c>
      <c r="D6" s="18" t="inlineStr">
        <is>
          <t>True, False</t>
        </is>
      </c>
    </row>
    <row r="7" ht="15" customHeight="1" s="10">
      <c r="A7" s="18" t="inlineStr">
        <is>
          <t>assigned_owner</t>
        </is>
      </c>
      <c r="B7" s="18" t="inlineStr">
        <is>
          <t>Text</t>
        </is>
      </c>
      <c r="C7" s="18" t="inlineStr">
        <is>
          <t>Responsible organiser</t>
        </is>
      </c>
      <c r="D7" s="18" t="inlineStr">
        <is>
          <t>Named organiser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2026-09-25T01:59:52Z</dcterms:created>
  <dcterms:modified xmlns:dcterms="http://purl.org/dc/terms/" xmlns:xsi="http://www.w3.org/2001/XMLSchema-instance" xsi:type="dcterms:W3CDTF">2026-09-25T04:24:46Z</dcterms:modified>
  <cp:revision>0</cp:revision>
</cp:coreProperties>
</file>