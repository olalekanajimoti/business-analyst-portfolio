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Objectives" sheetId="2" state="visible" r:id="rId4"/>
    <sheet name="Requirements" sheetId="3" state="visible" r:id="rId5"/>
    <sheet name="Functional" sheetId="4" state="visible" r:id="rId6"/>
    <sheet name="User Stories" sheetId="5" state="visible" r:id="rId7"/>
    <sheet name="Stakeholders" sheetId="6" state="visible" r:id="rId8"/>
    <sheet name="RAID" sheetId="7" state="visible" r:id="rId9"/>
    <sheet name="UAT" sheetId="8" state="visible" r:id="rId10"/>
    <sheet name="Traceability" sheetId="9" state="visible" r:id="rId11"/>
    <sheet name="Data Dictiona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<sst xmlns="http://schemas.openxmlformats.org/spreadsheetml/2006/main" count="293" uniqueCount="215">
  <si>
    <t xml:space="preserve">BOZ Jewelry Retail and E-commerce Transformation</t>
  </si>
  <si>
    <t xml:space="preserve">Status</t>
  </si>
  <si>
    <t xml:space="preserve">Delivered</t>
  </si>
  <si>
    <t xml:space="preserve">Domain</t>
  </si>
  <si>
    <t xml:space="preserve">Retail and e-commerce</t>
  </si>
  <si>
    <t xml:space="preserve">Role</t>
  </si>
  <si>
    <t xml:space="preserve">IT Project Manager, E-commerce and Digital Systems</t>
  </si>
  <si>
    <t xml:space="preserve">Business problem</t>
  </si>
  <si>
    <t xml:space="preserve">Fragmented delivery updates, repetitive customer enquiries and inconsistent custom-order requirement capture reduced visibility and created friction in the customer journey.</t>
  </si>
  <si>
    <t xml:space="preserve">Measure</t>
  </si>
  <si>
    <t xml:space="preserve">Value</t>
  </si>
  <si>
    <t xml:space="preserve">Source</t>
  </si>
  <si>
    <t xml:space="preserve">Business requirements</t>
  </si>
  <si>
    <t xml:space="preserve">Requirements</t>
  </si>
  <si>
    <t xml:space="preserve">Must requirements</t>
  </si>
  <si>
    <t xml:space="preserve">Should requirements</t>
  </si>
  <si>
    <t xml:space="preserve">Functional requirements</t>
  </si>
  <si>
    <t xml:space="preserve">Functional</t>
  </si>
  <si>
    <t xml:space="preserve">Requirements with a test</t>
  </si>
  <si>
    <t xml:space="preserve">Traceability</t>
  </si>
  <si>
    <t xml:space="preserve">Tests with status "Passed"</t>
  </si>
  <si>
    <t xml:space="preserve">UAT</t>
  </si>
  <si>
    <t xml:space="preserve">High risks</t>
  </si>
  <si>
    <t xml:space="preserve">RAID</t>
  </si>
  <si>
    <t xml:space="preserve">Stakeholder groups</t>
  </si>
  <si>
    <t xml:space="preserve">Stakeholders</t>
  </si>
  <si>
    <t xml:space="preserve">Counts are formulas and update when rows are added. Status values are recorded on the UAT sheet.</t>
  </si>
  <si>
    <t xml:space="preserve">Objective ID</t>
  </si>
  <si>
    <t xml:space="preserve">Objective</t>
  </si>
  <si>
    <t xml:space="preserve">OBJ-01</t>
  </si>
  <si>
    <t xml:space="preserve">Create clear ownership and delivery visibility</t>
  </si>
  <si>
    <t xml:space="preserve">OBJ-02</t>
  </si>
  <si>
    <t xml:space="preserve">Improve customer support and custom-order journeys</t>
  </si>
  <si>
    <t xml:space="preserve">OBJ-03</t>
  </si>
  <si>
    <t xml:space="preserve">Support Microsoft 365 adoption and controlled collaboration</t>
  </si>
  <si>
    <t xml:space="preserve">OBJ-04</t>
  </si>
  <si>
    <t xml:space="preserve">Validate changes and measure post-implementation value</t>
  </si>
  <si>
    <t xml:space="preserve">ID</t>
  </si>
  <si>
    <t xml:space="preserve">Requirement</t>
  </si>
  <si>
    <t xml:space="preserve">Priority</t>
  </si>
  <si>
    <t xml:space="preserve">Acceptance criterion</t>
  </si>
  <si>
    <t xml:space="preserve">BR-01</t>
  </si>
  <si>
    <t xml:space="preserve">Leadership can view project status, ownership and blockers in one place</t>
  </si>
  <si>
    <t xml:space="preserve">Must</t>
  </si>
  <si>
    <t xml:space="preserve">Every active item shows owner, status, due date and dependency</t>
  </si>
  <si>
    <t xml:space="preserve">BR-02</t>
  </si>
  <si>
    <t xml:space="preserve">Authorised colleagues can access controlled shared information</t>
  </si>
  <si>
    <t xml:space="preserve">Current documents are accessible according to role; unauthorised access is denied</t>
  </si>
  <si>
    <t xml:space="preserve">BR-03</t>
  </si>
  <si>
    <t xml:space="preserve">Customers receive consistent answers to common questions</t>
  </si>
  <si>
    <t xml:space="preserve">Should</t>
  </si>
  <si>
    <t xml:space="preserve">An approved answer is returned, or the query is escalated to a person</t>
  </si>
  <si>
    <t xml:space="preserve">BR-04</t>
  </si>
  <si>
    <t xml:space="preserve">Custom-order specifications are confirmed before fulfilment</t>
  </si>
  <si>
    <t xml:space="preserve">Required details and customer confirmation are recorded before production starts</t>
  </si>
  <si>
    <t xml:space="preserve">BR-05</t>
  </si>
  <si>
    <t xml:space="preserve">Changes are tested with business users before release</t>
  </si>
  <si>
    <t xml:space="preserve">Agreed scenarios pass and exceptions are logged and retested</t>
  </si>
  <si>
    <t xml:space="preserve">Parent BR</t>
  </si>
  <si>
    <t xml:space="preserve">System behaviour</t>
  </si>
  <si>
    <t xml:space="preserve">Business rule or validation</t>
  </si>
  <si>
    <t xml:space="preserve">FR-01</t>
  </si>
  <si>
    <t xml:space="preserve">Delivery board holds one item per workstream task with owner, status, due date and dependency fields</t>
  </si>
  <si>
    <t xml:space="preserve">Status values: Not started, In progress, Blocked, Done</t>
  </si>
  <si>
    <t xml:space="preserve">FR-02</t>
  </si>
  <si>
    <t xml:space="preserve">Weekly status summary is generated automatically for leadership</t>
  </si>
  <si>
    <t xml:space="preserve">Summary lists blocked and overdue items first</t>
  </si>
  <si>
    <t xml:space="preserve">FR-03</t>
  </si>
  <si>
    <t xml:space="preserve">Microsoft 365 groups control access to shared libraries by role</t>
  </si>
  <si>
    <t xml:space="preserve">New users are added to a role group, never to individual files</t>
  </si>
  <si>
    <t xml:space="preserve">FR-04</t>
  </si>
  <si>
    <t xml:space="preserve">Chatbot returns approved answers for common product, delivery and returns questions</t>
  </si>
  <si>
    <t xml:space="preserve">Unmatched or sales-intent queries route to customer service</t>
  </si>
  <si>
    <t xml:space="preserve">FR-05</t>
  </si>
  <si>
    <t xml:space="preserve">Custom-order form captures metal, size, stones, engraving, budget and reference images</t>
  </si>
  <si>
    <t xml:space="preserve">Order cannot move to production until customer confirmation is recorded</t>
  </si>
  <si>
    <t xml:space="preserve">FR-06</t>
  </si>
  <si>
    <t xml:space="preserve">Test scenarios are linked to requirement IDs with pass or fail and defect reference</t>
  </si>
  <si>
    <t xml:space="preserve">A release needs all Must scenarios passed</t>
  </si>
  <si>
    <t xml:space="preserve">As a</t>
  </si>
  <si>
    <t xml:space="preserve">I want</t>
  </si>
  <si>
    <t xml:space="preserve">So that</t>
  </si>
  <si>
    <t xml:space="preserve">Given</t>
  </si>
  <si>
    <t xml:space="preserve">When</t>
  </si>
  <si>
    <t xml:space="preserve">Then</t>
  </si>
  <si>
    <t xml:space="preserve">US-01</t>
  </si>
  <si>
    <t xml:space="preserve">customer ordering a custom piece</t>
  </si>
  <si>
    <t xml:space="preserve">to confirm my specification before it is made</t>
  </si>
  <si>
    <t xml:space="preserve">what I receive matches what I asked for</t>
  </si>
  <si>
    <t xml:space="preserve">I have submitted a custom request</t>
  </si>
  <si>
    <t xml:space="preserve">I review the summary and confirm it</t>
  </si>
  <si>
    <t xml:space="preserve">the order moves to production with my confirmed brief attached</t>
  </si>
  <si>
    <t xml:space="preserve">US-02</t>
  </si>
  <si>
    <t xml:space="preserve">customer with a routine question</t>
  </si>
  <si>
    <t xml:space="preserve">an instant, accurate answer</t>
  </si>
  <si>
    <t xml:space="preserve">I do not wait in a manual queue</t>
  </si>
  <si>
    <t xml:space="preserve">my question matches an approved topic</t>
  </si>
  <si>
    <t xml:space="preserve">I ask it on the website or WhatsApp</t>
  </si>
  <si>
    <t xml:space="preserve">the approved answer is returned, or I am passed to a person</t>
  </si>
  <si>
    <t xml:space="preserve">US-03</t>
  </si>
  <si>
    <t xml:space="preserve">business owner</t>
  </si>
  <si>
    <t xml:space="preserve">one view of every workstream</t>
  </si>
  <si>
    <t xml:space="preserve">I can see blockers without chasing people</t>
  </si>
  <si>
    <t xml:space="preserve">items are on the delivery board</t>
  </si>
  <si>
    <t xml:space="preserve">I open the weekly summary</t>
  </si>
  <si>
    <t xml:space="preserve">blocked and overdue items appear first with their owners</t>
  </si>
  <si>
    <t xml:space="preserve">Stakeholder</t>
  </si>
  <si>
    <t xml:space="preserve">Influence</t>
  </si>
  <si>
    <t xml:space="preserve">Interest</t>
  </si>
  <si>
    <t xml:space="preserve">Primary interest</t>
  </si>
  <si>
    <t xml:space="preserve">Information need</t>
  </si>
  <si>
    <t xml:space="preserve">Method</t>
  </si>
  <si>
    <t xml:space="preserve">Cadence</t>
  </si>
  <si>
    <t xml:space="preserve">Approach</t>
  </si>
  <si>
    <t xml:space="preserve">Business owner</t>
  </si>
  <si>
    <t xml:space="preserve">High</t>
  </si>
  <si>
    <t xml:space="preserve">Commercial value, cost and risk</t>
  </si>
  <si>
    <t xml:space="preserve">Milestones, options, decisions, benefits</t>
  </si>
  <si>
    <t xml:space="preserve">Decision-focused review</t>
  </si>
  <si>
    <t xml:space="preserve">Weekly</t>
  </si>
  <si>
    <t xml:space="preserve">Manage closely</t>
  </si>
  <si>
    <t xml:space="preserve">Customer-service team</t>
  </si>
  <si>
    <t xml:space="preserve">Medium</t>
  </si>
  <si>
    <t xml:space="preserve">Usability and workload</t>
  </si>
  <si>
    <t xml:space="preserve">Process changes, escalation routes</t>
  </si>
  <si>
    <t xml:space="preserve">Demonstration and feedback session</t>
  </si>
  <si>
    <t xml:space="preserve">Before each release</t>
  </si>
  <si>
    <t xml:space="preserve">Keep informed</t>
  </si>
  <si>
    <t xml:space="preserve">Developers</t>
  </si>
  <si>
    <t xml:space="preserve">Feasible, testable scope</t>
  </si>
  <si>
    <t xml:space="preserve">Workflows, data, acceptance criteria</t>
  </si>
  <si>
    <t xml:space="preserve">Requirements walkthrough and backlog</t>
  </si>
  <si>
    <t xml:space="preserve">Each sprint</t>
  </si>
  <si>
    <t xml:space="preserve">Creatives</t>
  </si>
  <si>
    <t xml:space="preserve">Brand and content dependencies</t>
  </si>
  <si>
    <t xml:space="preserve">Priorities, asset deadlines</t>
  </si>
  <si>
    <t xml:space="preserve">Visual brief and checkpoint</t>
  </si>
  <si>
    <t xml:space="preserve">Per asset batch</t>
  </si>
  <si>
    <t xml:space="preserve">Monitor</t>
  </si>
  <si>
    <t xml:space="preserve">Customers</t>
  </si>
  <si>
    <t xml:space="preserve">Low</t>
  </si>
  <si>
    <t xml:space="preserve">Clear, reliable journey</t>
  </si>
  <si>
    <t xml:space="preserve">Product, order and support information</t>
  </si>
  <si>
    <t xml:space="preserve">Usability checks and feedback</t>
  </si>
  <si>
    <t xml:space="preserve">At launch and post-launch</t>
  </si>
  <si>
    <t xml:space="preserve">Risk</t>
  </si>
  <si>
    <t xml:space="preserve">Severity</t>
  </si>
  <si>
    <t xml:space="preserve">Response</t>
  </si>
  <si>
    <t xml:space="preserve">Owner</t>
  </si>
  <si>
    <t xml:space="preserve">R-01</t>
  </si>
  <si>
    <t xml:space="preserve">Users revert to fragmented communication</t>
  </si>
  <si>
    <t xml:space="preserve">Demonstrations and one agreed channel per purpose</t>
  </si>
  <si>
    <t xml:space="preserve">R-02</t>
  </si>
  <si>
    <t xml:space="preserve">Custom requirements are misunderstood</t>
  </si>
  <si>
    <t xml:space="preserve">Structured capture and customer confirmation</t>
  </si>
  <si>
    <t xml:space="preserve">Customer service lead</t>
  </si>
  <si>
    <t xml:space="preserve">R-03</t>
  </si>
  <si>
    <t xml:space="preserve">Automated answers become inaccurate</t>
  </si>
  <si>
    <t xml:space="preserve">Approved content and escalation route</t>
  </si>
  <si>
    <t xml:space="preserve">R-04</t>
  </si>
  <si>
    <t xml:space="preserve">Permissions expose information incorrectly</t>
  </si>
  <si>
    <t xml:space="preserve">Role-group access and access tests</t>
  </si>
  <si>
    <t xml:space="preserve">IT project manager</t>
  </si>
  <si>
    <t xml:space="preserve">Test ID</t>
  </si>
  <si>
    <t xml:space="preserve">UAT-01</t>
  </si>
  <si>
    <t xml:space="preserve">items exist on the delivery board</t>
  </si>
  <si>
    <t xml:space="preserve">the owner opens the weekly summary</t>
  </si>
  <si>
    <t xml:space="preserve">blocked and overdue items show owner, due date and dependency</t>
  </si>
  <si>
    <t xml:space="preserve">Passed</t>
  </si>
  <si>
    <t xml:space="preserve">UAT-02</t>
  </si>
  <si>
    <t xml:space="preserve">a colleague without the finance role</t>
  </si>
  <si>
    <t xml:space="preserve">they open the finance library</t>
  </si>
  <si>
    <t xml:space="preserve">access is denied and the attempt is logged</t>
  </si>
  <si>
    <t xml:space="preserve">UAT-03</t>
  </si>
  <si>
    <t xml:space="preserve">a customer asks a delivery-time question</t>
  </si>
  <si>
    <t xml:space="preserve">the chatbot receives it</t>
  </si>
  <si>
    <t xml:space="preserve">the approved answer is returned</t>
  </si>
  <si>
    <t xml:space="preserve">UAT-04</t>
  </si>
  <si>
    <t xml:space="preserve">a custom request without confirmation</t>
  </si>
  <si>
    <t xml:space="preserve">staff try to move it to production</t>
  </si>
  <si>
    <t xml:space="preserve">the move is blocked until confirmation is recorded</t>
  </si>
  <si>
    <t xml:space="preserve">UAT-05</t>
  </si>
  <si>
    <t xml:space="preserve">release candidate is ready</t>
  </si>
  <si>
    <t xml:space="preserve">the scenario pack is run with business users</t>
  </si>
  <si>
    <t xml:space="preserve">all Must scenarios pass and exceptions are logged</t>
  </si>
  <si>
    <t xml:space="preserve">User stories</t>
  </si>
  <si>
    <t xml:space="preserve">Test IDs</t>
  </si>
  <si>
    <t xml:space="preserve">Number of tests</t>
  </si>
  <si>
    <t xml:space="preserve">FR-01, FR-02</t>
  </si>
  <si>
    <t xml:space="preserve">None</t>
  </si>
  <si>
    <t xml:space="preserve">Field</t>
  </si>
  <si>
    <t xml:space="preserve">Type</t>
  </si>
  <si>
    <t xml:space="preserve">Definition</t>
  </si>
  <si>
    <t xml:space="preserve">Allowed values</t>
  </si>
  <si>
    <t xml:space="preserve">work_item_id</t>
  </si>
  <si>
    <t xml:space="preserve">Text</t>
  </si>
  <si>
    <t xml:space="preserve">Unique delivery item</t>
  </si>
  <si>
    <t xml:space="preserve">WI-0001 format</t>
  </si>
  <si>
    <t xml:space="preserve">owner</t>
  </si>
  <si>
    <t xml:space="preserve">Responsible person or team</t>
  </si>
  <si>
    <t xml:space="preserve">Named role</t>
  </si>
  <si>
    <t xml:space="preserve">status</t>
  </si>
  <si>
    <t xml:space="preserve">Category</t>
  </si>
  <si>
    <t xml:space="preserve">Current delivery state</t>
  </si>
  <si>
    <t xml:space="preserve">Not started, In progress, Blocked, Done</t>
  </si>
  <si>
    <t xml:space="preserve">request_type</t>
  </si>
  <si>
    <t xml:space="preserve">Type of customer contact</t>
  </si>
  <si>
    <t xml:space="preserve">Routine question, Sales lead, Custom order, Complaint</t>
  </si>
  <si>
    <t xml:space="preserve">custom_specification</t>
  </si>
  <si>
    <t xml:space="preserve">Confirmed custom-order details</t>
  </si>
  <si>
    <t xml:space="preserve">Structured form fields</t>
  </si>
  <si>
    <t xml:space="preserve">confirmed_at</t>
  </si>
  <si>
    <t xml:space="preserve">Datetime</t>
  </si>
  <si>
    <t xml:space="preserve">Customer confirmation time</t>
  </si>
  <si>
    <t xml:space="preserve">ISO 8601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</si>
</sst>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5253D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64748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525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525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9" customFormat="false" ht="15" hidden="false" customHeight="false" outlineLevel="0" collapsed="false">
      <c r="A9" s="4" t="s">
        <v>9</v>
      </c>
      <c r="B9" s="4" t="s">
        <v>10</v>
      </c>
      <c r="C9" s="4" t="s">
        <v>11</v>
      </c>
    </row>
    <row r="10" customFormat="false" ht="15" hidden="false" customHeight="false" outlineLevel="0" collapsed="false">
      <c r="A10" s="5" t="s">
        <v>12</v>
      </c>
      <c r="B10" s="5" t="n">
        <f aca="false">COUNTA(Requirements!A2:A200)</f>
        <v>5</v>
      </c>
      <c r="C10" s="5" t="s">
        <v>13</v>
      </c>
    </row>
    <row r="11" customFormat="false" ht="15" hidden="false" customHeight="false" outlineLevel="0" collapsed="false">
      <c r="A11" s="5" t="s">
        <v>14</v>
      </c>
      <c r="B11" s="5" t="n">
        <f aca="false">COUNTIF(Requirements!C2:C200,"Must")</f>
        <v>4</v>
      </c>
      <c r="C11" s="5" t="s">
        <v>13</v>
      </c>
    </row>
    <row r="12" customFormat="false" ht="15" hidden="false" customHeight="false" outlineLevel="0" collapsed="false">
      <c r="A12" s="5" t="s">
        <v>15</v>
      </c>
      <c r="B12" s="5" t="n">
        <f aca="false">COUNTIF(Requirements!C2:C200,"Should")</f>
        <v>1</v>
      </c>
      <c r="C12" s="5" t="s">
        <v>13</v>
      </c>
    </row>
    <row r="13" customFormat="false" ht="15" hidden="false" customHeight="false" outlineLevel="0" collapsed="false">
      <c r="A13" s="5" t="s">
        <v>16</v>
      </c>
      <c r="B13" s="5" t="n">
        <f aca="false">COUNTA(Functional!A2:A200)</f>
        <v>6</v>
      </c>
      <c r="C13" s="5" t="s">
        <v>17</v>
      </c>
    </row>
    <row r="14" customFormat="false" ht="15" hidden="false" customHeight="false" outlineLevel="0" collapsed="false">
      <c r="A14" s="5" t="s">
        <v>18</v>
      </c>
      <c r="B14" s="5" t="n">
        <f aca="false">COUNTIF(Traceability!F2:F200,"&gt;0")</f>
        <v>5</v>
      </c>
      <c r="C14" s="5" t="s">
        <v>19</v>
      </c>
    </row>
    <row r="15" customFormat="false" ht="15" hidden="false" customHeight="false" outlineLevel="0" collapsed="false">
      <c r="A15" s="5" t="s">
        <v>20</v>
      </c>
      <c r="B15" s="5" t="n">
        <f aca="false">COUNTIF(UAT!F2:F200,"Passed")</f>
        <v>5</v>
      </c>
      <c r="C15" s="5" t="s">
        <v>21</v>
      </c>
    </row>
    <row r="16" customFormat="false" ht="15" hidden="false" customHeight="false" outlineLevel="0" collapsed="false">
      <c r="A16" s="5" t="s">
        <v>22</v>
      </c>
      <c r="B16" s="5" t="n">
        <f aca="false">COUNTIF(RAID!C2:C200,"High")</f>
        <v>3</v>
      </c>
      <c r="C16" s="5" t="s">
        <v>23</v>
      </c>
    </row>
    <row r="17" customFormat="false" ht="15" hidden="false" customHeight="false" outlineLevel="0" collapsed="false">
      <c r="A17" s="5" t="s">
        <v>24</v>
      </c>
      <c r="B17" s="5" t="n">
        <f aca="false">COUNTA(Stakeholders!A2:A200)</f>
        <v>5</v>
      </c>
      <c r="C17" s="5" t="s">
        <v>25</v>
      </c>
    </row>
    <row r="19" customFormat="false" ht="15" hidden="false" customHeight="false" outlineLevel="0" collapsed="false">
      <c r="A19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27</v>
      </c>
      <c r="B1" s="7" t="s">
        <v>28</v>
      </c>
    </row>
    <row r="2" customFormat="false" ht="15" hidden="false" customHeight="false" outlineLevel="0" collapsed="false">
      <c r="A2" s="8" t="s">
        <v>29</v>
      </c>
      <c r="B2" s="8" t="s">
        <v>30</v>
      </c>
    </row>
    <row r="3" customFormat="false" ht="15" hidden="false" customHeight="false" outlineLevel="0" collapsed="false">
      <c r="A3" s="8" t="s">
        <v>31</v>
      </c>
      <c r="B3" s="8" t="s">
        <v>32</v>
      </c>
    </row>
    <row r="4" customFormat="false" ht="15" hidden="false" customHeight="false" outlineLevel="0" collapsed="false">
      <c r="A4" s="8" t="s">
        <v>33</v>
      </c>
      <c r="B4" s="8" t="s">
        <v>34</v>
      </c>
    </row>
    <row r="5" customFormat="false" ht="15" hidden="false" customHeight="false" outlineLevel="0" collapsed="false">
      <c r="A5" s="8" t="s">
        <v>35</v>
      </c>
      <c r="B5" s="8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40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7" t="s">
        <v>37</v>
      </c>
      <c r="B1" s="7" t="s">
        <v>38</v>
      </c>
      <c r="C1" s="7" t="s">
        <v>39</v>
      </c>
      <c r="D1" s="7" t="s">
        <v>27</v>
      </c>
      <c r="E1" s="7" t="s">
        <v>28</v>
      </c>
      <c r="F1" s="7" t="s">
        <v>40</v>
      </c>
    </row>
    <row r="2" customFormat="false" ht="23.85" hidden="false" customHeight="false" outlineLevel="0" collapsed="false">
      <c r="A2" s="8" t="s">
        <v>41</v>
      </c>
      <c r="B2" s="8" t="s">
        <v>42</v>
      </c>
      <c r="C2" s="8" t="s">
        <v>43</v>
      </c>
      <c r="D2" s="8" t="s">
        <v>29</v>
      </c>
      <c r="E2" s="8" t="str">
        <f aca="false">IFERROR(INDEX(Objectives!$B:$B,MATCH(D2,Objectives!$A:$A,0)),"Check objective ID")</f>
        <v>Create clear ownership and delivery visibility</v>
      </c>
      <c r="F2" s="8" t="s">
        <v>44</v>
      </c>
    </row>
    <row r="3" customFormat="false" ht="23.85" hidden="false" customHeight="false" outlineLevel="0" collapsed="false">
      <c r="A3" s="8" t="s">
        <v>45</v>
      </c>
      <c r="B3" s="8" t="s">
        <v>46</v>
      </c>
      <c r="C3" s="8" t="s">
        <v>43</v>
      </c>
      <c r="D3" s="8" t="s">
        <v>33</v>
      </c>
      <c r="E3" s="8" t="str">
        <f aca="false">IFERROR(INDEX(Objectives!$B:$B,MATCH(D3,Objectives!$A:$A,0)),"Check objective ID")</f>
        <v>Support Microsoft 365 adoption and controlled collaboration</v>
      </c>
      <c r="F3" s="8" t="s">
        <v>47</v>
      </c>
    </row>
    <row r="4" customFormat="false" ht="23.85" hidden="false" customHeight="false" outlineLevel="0" collapsed="false">
      <c r="A4" s="8" t="s">
        <v>48</v>
      </c>
      <c r="B4" s="8" t="s">
        <v>49</v>
      </c>
      <c r="C4" s="8" t="s">
        <v>50</v>
      </c>
      <c r="D4" s="8" t="s">
        <v>31</v>
      </c>
      <c r="E4" s="8" t="str">
        <f aca="false">IFERROR(INDEX(Objectives!$B:$B,MATCH(D4,Objectives!$A:$A,0)),"Check objective ID")</f>
        <v>Improve customer support and custom-order journeys</v>
      </c>
      <c r="F4" s="8" t="s">
        <v>51</v>
      </c>
    </row>
    <row r="5" customFormat="false" ht="23.85" hidden="false" customHeight="false" outlineLevel="0" collapsed="false">
      <c r="A5" s="8" t="s">
        <v>52</v>
      </c>
      <c r="B5" s="8" t="s">
        <v>53</v>
      </c>
      <c r="C5" s="8" t="s">
        <v>43</v>
      </c>
      <c r="D5" s="8" t="s">
        <v>31</v>
      </c>
      <c r="E5" s="8" t="str">
        <f aca="false">IFERROR(INDEX(Objectives!$B:$B,MATCH(D5,Objectives!$A:$A,0)),"Check objective ID")</f>
        <v>Improve customer support and custom-order journeys</v>
      </c>
      <c r="F5" s="8" t="s">
        <v>54</v>
      </c>
    </row>
    <row r="6" customFormat="false" ht="23.85" hidden="false" customHeight="false" outlineLevel="0" collapsed="false">
      <c r="A6" s="8" t="s">
        <v>55</v>
      </c>
      <c r="B6" s="8" t="s">
        <v>56</v>
      </c>
      <c r="C6" s="8" t="s">
        <v>43</v>
      </c>
      <c r="D6" s="8" t="s">
        <v>35</v>
      </c>
      <c r="E6" s="8" t="str">
        <f aca="false">IFERROR(INDEX(Objectives!$B:$B,MATCH(D6,Objectives!$A:$A,0)),"Check objective ID")</f>
        <v>Validate changes and measure post-implementation value</v>
      </c>
      <c r="F6" s="8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6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7" t="s">
        <v>37</v>
      </c>
      <c r="B1" s="7" t="s">
        <v>58</v>
      </c>
      <c r="C1" s="7" t="s">
        <v>59</v>
      </c>
      <c r="D1" s="7" t="s">
        <v>60</v>
      </c>
    </row>
    <row r="2" customFormat="false" ht="23.85" hidden="false" customHeight="false" outlineLevel="0" collapsed="false">
      <c r="A2" s="8" t="s">
        <v>61</v>
      </c>
      <c r="B2" s="8" t="s">
        <v>41</v>
      </c>
      <c r="C2" s="8" t="s">
        <v>62</v>
      </c>
      <c r="D2" s="8" t="s">
        <v>63</v>
      </c>
    </row>
    <row r="3" customFormat="false" ht="15" hidden="false" customHeight="false" outlineLevel="0" collapsed="false">
      <c r="A3" s="8" t="s">
        <v>64</v>
      </c>
      <c r="B3" s="8" t="s">
        <v>41</v>
      </c>
      <c r="C3" s="8" t="s">
        <v>65</v>
      </c>
      <c r="D3" s="8" t="s">
        <v>66</v>
      </c>
    </row>
    <row r="4" customFormat="false" ht="15" hidden="false" customHeight="false" outlineLevel="0" collapsed="false">
      <c r="A4" s="8" t="s">
        <v>67</v>
      </c>
      <c r="B4" s="8" t="s">
        <v>45</v>
      </c>
      <c r="C4" s="8" t="s">
        <v>68</v>
      </c>
      <c r="D4" s="8" t="s">
        <v>69</v>
      </c>
    </row>
    <row r="5" customFormat="false" ht="23.85" hidden="false" customHeight="false" outlineLevel="0" collapsed="false">
      <c r="A5" s="8" t="s">
        <v>70</v>
      </c>
      <c r="B5" s="8" t="s">
        <v>48</v>
      </c>
      <c r="C5" s="8" t="s">
        <v>71</v>
      </c>
      <c r="D5" s="8" t="s">
        <v>72</v>
      </c>
    </row>
    <row r="6" customFormat="false" ht="23.85" hidden="false" customHeight="false" outlineLevel="0" collapsed="false">
      <c r="A6" s="8" t="s">
        <v>73</v>
      </c>
      <c r="B6" s="8" t="s">
        <v>52</v>
      </c>
      <c r="C6" s="8" t="s">
        <v>74</v>
      </c>
      <c r="D6" s="8" t="s">
        <v>75</v>
      </c>
    </row>
    <row r="7" customFormat="false" ht="23.85" hidden="false" customHeight="false" outlineLevel="0" collapsed="false">
      <c r="A7" s="8" t="s">
        <v>76</v>
      </c>
      <c r="B7" s="8" t="s">
        <v>55</v>
      </c>
      <c r="C7" s="8" t="s">
        <v>77</v>
      </c>
      <c r="D7" s="8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35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7" t="s">
        <v>37</v>
      </c>
      <c r="B1" s="7" t="s">
        <v>58</v>
      </c>
      <c r="C1" s="7" t="s">
        <v>79</v>
      </c>
      <c r="D1" s="7" t="s">
        <v>80</v>
      </c>
      <c r="E1" s="7" t="s">
        <v>81</v>
      </c>
      <c r="F1" s="7" t="s">
        <v>82</v>
      </c>
      <c r="G1" s="7" t="s">
        <v>83</v>
      </c>
      <c r="H1" s="7" t="s">
        <v>84</v>
      </c>
    </row>
    <row r="2" customFormat="false" ht="23.85" hidden="false" customHeight="false" outlineLevel="0" collapsed="false">
      <c r="A2" s="8" t="s">
        <v>85</v>
      </c>
      <c r="B2" s="8" t="s">
        <v>52</v>
      </c>
      <c r="C2" s="8" t="s">
        <v>86</v>
      </c>
      <c r="D2" s="8" t="s">
        <v>87</v>
      </c>
      <c r="E2" s="8" t="s">
        <v>88</v>
      </c>
      <c r="F2" s="8" t="s">
        <v>89</v>
      </c>
      <c r="G2" s="8" t="s">
        <v>90</v>
      </c>
      <c r="H2" s="8" t="s">
        <v>91</v>
      </c>
    </row>
    <row r="3" customFormat="false" ht="23.85" hidden="false" customHeight="false" outlineLevel="0" collapsed="false">
      <c r="A3" s="8" t="s">
        <v>92</v>
      </c>
      <c r="B3" s="8" t="s">
        <v>48</v>
      </c>
      <c r="C3" s="8" t="s">
        <v>93</v>
      </c>
      <c r="D3" s="8" t="s">
        <v>94</v>
      </c>
      <c r="E3" s="8" t="s">
        <v>95</v>
      </c>
      <c r="F3" s="8" t="s">
        <v>96</v>
      </c>
      <c r="G3" s="8" t="s">
        <v>97</v>
      </c>
      <c r="H3" s="8" t="s">
        <v>98</v>
      </c>
    </row>
    <row r="4" customFormat="false" ht="23.85" hidden="false" customHeight="false" outlineLevel="0" collapsed="false">
      <c r="A4" s="8" t="s">
        <v>99</v>
      </c>
      <c r="B4" s="8" t="s">
        <v>41</v>
      </c>
      <c r="C4" s="8" t="s">
        <v>100</v>
      </c>
      <c r="D4" s="8" t="s">
        <v>101</v>
      </c>
      <c r="E4" s="8" t="s">
        <v>102</v>
      </c>
      <c r="F4" s="8" t="s">
        <v>103</v>
      </c>
      <c r="G4" s="8" t="s">
        <v>104</v>
      </c>
      <c r="H4" s="8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6" min="4" style="0" width="32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7" t="s">
        <v>106</v>
      </c>
      <c r="B1" s="7" t="s">
        <v>107</v>
      </c>
      <c r="C1" s="7" t="s">
        <v>108</v>
      </c>
      <c r="D1" s="7" t="s">
        <v>109</v>
      </c>
      <c r="E1" s="7" t="s">
        <v>110</v>
      </c>
      <c r="F1" s="7" t="s">
        <v>111</v>
      </c>
      <c r="G1" s="7" t="s">
        <v>112</v>
      </c>
      <c r="H1" s="7" t="s">
        <v>113</v>
      </c>
    </row>
    <row r="2" customFormat="false" ht="15" hidden="false" customHeight="false" outlineLevel="0" collapsed="false">
      <c r="A2" s="8" t="s">
        <v>114</v>
      </c>
      <c r="B2" s="8" t="s">
        <v>115</v>
      </c>
      <c r="C2" s="8" t="s">
        <v>115</v>
      </c>
      <c r="D2" s="8" t="s">
        <v>116</v>
      </c>
      <c r="E2" s="8" t="s">
        <v>117</v>
      </c>
      <c r="F2" s="8" t="s">
        <v>118</v>
      </c>
      <c r="G2" s="8" t="s">
        <v>119</v>
      </c>
      <c r="H2" s="8" t="s">
        <v>120</v>
      </c>
    </row>
    <row r="3" customFormat="false" ht="15" hidden="false" customHeight="false" outlineLevel="0" collapsed="false">
      <c r="A3" s="8" t="s">
        <v>121</v>
      </c>
      <c r="B3" s="8" t="s">
        <v>122</v>
      </c>
      <c r="C3" s="8" t="s">
        <v>115</v>
      </c>
      <c r="D3" s="8" t="s">
        <v>123</v>
      </c>
      <c r="E3" s="8" t="s">
        <v>124</v>
      </c>
      <c r="F3" s="8" t="s">
        <v>125</v>
      </c>
      <c r="G3" s="8" t="s">
        <v>126</v>
      </c>
      <c r="H3" s="8" t="s">
        <v>127</v>
      </c>
    </row>
    <row r="4" customFormat="false" ht="23.85" hidden="false" customHeight="false" outlineLevel="0" collapsed="false">
      <c r="A4" s="8" t="s">
        <v>128</v>
      </c>
      <c r="B4" s="8" t="s">
        <v>115</v>
      </c>
      <c r="C4" s="8" t="s">
        <v>115</v>
      </c>
      <c r="D4" s="8" t="s">
        <v>129</v>
      </c>
      <c r="E4" s="8" t="s">
        <v>130</v>
      </c>
      <c r="F4" s="8" t="s">
        <v>131</v>
      </c>
      <c r="G4" s="8" t="s">
        <v>132</v>
      </c>
      <c r="H4" s="8" t="s">
        <v>120</v>
      </c>
    </row>
    <row r="5" customFormat="false" ht="15" hidden="false" customHeight="false" outlineLevel="0" collapsed="false">
      <c r="A5" s="8" t="s">
        <v>133</v>
      </c>
      <c r="B5" s="8" t="s">
        <v>122</v>
      </c>
      <c r="C5" s="8" t="s">
        <v>122</v>
      </c>
      <c r="D5" s="8" t="s">
        <v>134</v>
      </c>
      <c r="E5" s="8" t="s">
        <v>135</v>
      </c>
      <c r="F5" s="8" t="s">
        <v>136</v>
      </c>
      <c r="G5" s="8" t="s">
        <v>137</v>
      </c>
      <c r="H5" s="8" t="s">
        <v>138</v>
      </c>
    </row>
    <row r="6" customFormat="false" ht="15" hidden="false" customHeight="false" outlineLevel="0" collapsed="false">
      <c r="A6" s="8" t="s">
        <v>139</v>
      </c>
      <c r="B6" s="8" t="s">
        <v>140</v>
      </c>
      <c r="C6" s="8" t="s">
        <v>115</v>
      </c>
      <c r="D6" s="8" t="s">
        <v>141</v>
      </c>
      <c r="E6" s="8" t="s">
        <v>142</v>
      </c>
      <c r="F6" s="8" t="s">
        <v>143</v>
      </c>
      <c r="G6" s="8" t="s">
        <v>144</v>
      </c>
      <c r="H6" s="8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7" t="s">
        <v>37</v>
      </c>
      <c r="B1" s="7" t="s">
        <v>145</v>
      </c>
      <c r="C1" s="7" t="s">
        <v>146</v>
      </c>
      <c r="D1" s="7" t="s">
        <v>147</v>
      </c>
      <c r="E1" s="7" t="s">
        <v>148</v>
      </c>
    </row>
    <row r="2" customFormat="false" ht="23.85" hidden="false" customHeight="false" outlineLevel="0" collapsed="false">
      <c r="A2" s="8" t="s">
        <v>149</v>
      </c>
      <c r="B2" s="8" t="s">
        <v>150</v>
      </c>
      <c r="C2" s="8" t="s">
        <v>122</v>
      </c>
      <c r="D2" s="8" t="s">
        <v>151</v>
      </c>
      <c r="E2" s="8" t="s">
        <v>114</v>
      </c>
    </row>
    <row r="3" customFormat="false" ht="15" hidden="false" customHeight="false" outlineLevel="0" collapsed="false">
      <c r="A3" s="8" t="s">
        <v>152</v>
      </c>
      <c r="B3" s="8" t="s">
        <v>153</v>
      </c>
      <c r="C3" s="8" t="s">
        <v>115</v>
      </c>
      <c r="D3" s="8" t="s">
        <v>154</v>
      </c>
      <c r="E3" s="8" t="s">
        <v>155</v>
      </c>
    </row>
    <row r="4" customFormat="false" ht="15" hidden="false" customHeight="false" outlineLevel="0" collapsed="false">
      <c r="A4" s="8" t="s">
        <v>156</v>
      </c>
      <c r="B4" s="8" t="s">
        <v>157</v>
      </c>
      <c r="C4" s="8" t="s">
        <v>115</v>
      </c>
      <c r="D4" s="8" t="s">
        <v>158</v>
      </c>
      <c r="E4" s="8" t="s">
        <v>155</v>
      </c>
    </row>
    <row r="5" customFormat="false" ht="15" hidden="false" customHeight="false" outlineLevel="0" collapsed="false">
      <c r="A5" s="8" t="s">
        <v>159</v>
      </c>
      <c r="B5" s="8" t="s">
        <v>160</v>
      </c>
      <c r="C5" s="8" t="s">
        <v>115</v>
      </c>
      <c r="D5" s="8" t="s">
        <v>161</v>
      </c>
      <c r="E5" s="8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26"/>
  </cols>
  <sheetData>
    <row r="1" customFormat="false" ht="26.85" hidden="false" customHeight="false" outlineLevel="0" collapsed="false">
      <c r="A1" s="7" t="s">
        <v>163</v>
      </c>
      <c r="B1" s="7" t="s">
        <v>38</v>
      </c>
      <c r="C1" s="7" t="s">
        <v>82</v>
      </c>
      <c r="D1" s="7" t="s">
        <v>83</v>
      </c>
      <c r="E1" s="7" t="s">
        <v>84</v>
      </c>
      <c r="F1" s="7" t="s">
        <v>1</v>
      </c>
    </row>
    <row r="2" customFormat="false" ht="23.85" hidden="false" customHeight="false" outlineLevel="0" collapsed="false">
      <c r="A2" s="8" t="s">
        <v>164</v>
      </c>
      <c r="B2" s="8" t="s">
        <v>41</v>
      </c>
      <c r="C2" s="8" t="s">
        <v>165</v>
      </c>
      <c r="D2" s="8" t="s">
        <v>166</v>
      </c>
      <c r="E2" s="8" t="s">
        <v>167</v>
      </c>
      <c r="F2" s="8" t="s">
        <v>168</v>
      </c>
    </row>
    <row r="3" customFormat="false" ht="15" hidden="false" customHeight="false" outlineLevel="0" collapsed="false">
      <c r="A3" s="8" t="s">
        <v>169</v>
      </c>
      <c r="B3" s="8" t="s">
        <v>45</v>
      </c>
      <c r="C3" s="8" t="s">
        <v>170</v>
      </c>
      <c r="D3" s="8" t="s">
        <v>171</v>
      </c>
      <c r="E3" s="8" t="s">
        <v>172</v>
      </c>
      <c r="F3" s="8" t="s">
        <v>168</v>
      </c>
    </row>
    <row r="4" customFormat="false" ht="15" hidden="false" customHeight="false" outlineLevel="0" collapsed="false">
      <c r="A4" s="8" t="s">
        <v>173</v>
      </c>
      <c r="B4" s="8" t="s">
        <v>48</v>
      </c>
      <c r="C4" s="8" t="s">
        <v>174</v>
      </c>
      <c r="D4" s="8" t="s">
        <v>175</v>
      </c>
      <c r="E4" s="8" t="s">
        <v>176</v>
      </c>
      <c r="F4" s="8" t="s">
        <v>168</v>
      </c>
    </row>
    <row r="5" customFormat="false" ht="15" hidden="false" customHeight="false" outlineLevel="0" collapsed="false">
      <c r="A5" s="8" t="s">
        <v>177</v>
      </c>
      <c r="B5" s="8" t="s">
        <v>52</v>
      </c>
      <c r="C5" s="8" t="s">
        <v>178</v>
      </c>
      <c r="D5" s="8" t="s">
        <v>179</v>
      </c>
      <c r="E5" s="8" t="s">
        <v>180</v>
      </c>
      <c r="F5" s="8" t="s">
        <v>168</v>
      </c>
    </row>
    <row r="6" customFormat="false" ht="23.85" hidden="false" customHeight="false" outlineLevel="0" collapsed="false">
      <c r="A6" s="8" t="s">
        <v>181</v>
      </c>
      <c r="B6" s="8" t="s">
        <v>55</v>
      </c>
      <c r="C6" s="8" t="s">
        <v>182</v>
      </c>
      <c r="D6" s="8" t="s">
        <v>183</v>
      </c>
      <c r="E6" s="8" t="s">
        <v>184</v>
      </c>
      <c r="F6" s="8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7" t="s">
        <v>38</v>
      </c>
      <c r="B1" s="7" t="s">
        <v>27</v>
      </c>
      <c r="C1" s="7" t="s">
        <v>16</v>
      </c>
      <c r="D1" s="7" t="s">
        <v>185</v>
      </c>
      <c r="E1" s="7" t="s">
        <v>186</v>
      </c>
      <c r="F1" s="7" t="s">
        <v>187</v>
      </c>
    </row>
    <row r="2" customFormat="false" ht="15" hidden="false" customHeight="false" outlineLevel="0" collapsed="false">
      <c r="A2" s="8" t="s">
        <v>41</v>
      </c>
      <c r="B2" s="8" t="str">
        <f aca="false">IFERROR(INDEX(Requirements!$D:$D,MATCH(A2,Requirements!$A:$A,0)),"")</f>
        <v>OBJ-01</v>
      </c>
      <c r="C2" s="8" t="s">
        <v>188</v>
      </c>
      <c r="D2" s="8" t="s">
        <v>99</v>
      </c>
      <c r="E2" s="8" t="s">
        <v>164</v>
      </c>
      <c r="F2" s="8" t="n">
        <f aca="false">COUNTIF(UAT!$B:$B,A2)</f>
        <v>1</v>
      </c>
    </row>
    <row r="3" customFormat="false" ht="15" hidden="false" customHeight="false" outlineLevel="0" collapsed="false">
      <c r="A3" s="8" t="s">
        <v>45</v>
      </c>
      <c r="B3" s="8" t="str">
        <f aca="false">IFERROR(INDEX(Requirements!$D:$D,MATCH(A3,Requirements!$A:$A,0)),"")</f>
        <v>OBJ-03</v>
      </c>
      <c r="C3" s="8" t="s">
        <v>67</v>
      </c>
      <c r="D3" s="8" t="s">
        <v>189</v>
      </c>
      <c r="E3" s="8" t="s">
        <v>169</v>
      </c>
      <c r="F3" s="8" t="n">
        <f aca="false">COUNTIF(UAT!$B:$B,A3)</f>
        <v>1</v>
      </c>
    </row>
    <row r="4" customFormat="false" ht="15" hidden="false" customHeight="false" outlineLevel="0" collapsed="false">
      <c r="A4" s="8" t="s">
        <v>48</v>
      </c>
      <c r="B4" s="8" t="str">
        <f aca="false">IFERROR(INDEX(Requirements!$D:$D,MATCH(A4,Requirements!$A:$A,0)),"")</f>
        <v>OBJ-02</v>
      </c>
      <c r="C4" s="8" t="s">
        <v>70</v>
      </c>
      <c r="D4" s="8" t="s">
        <v>92</v>
      </c>
      <c r="E4" s="8" t="s">
        <v>173</v>
      </c>
      <c r="F4" s="8" t="n">
        <f aca="false">COUNTIF(UAT!$B:$B,A4)</f>
        <v>1</v>
      </c>
    </row>
    <row r="5" customFormat="false" ht="15" hidden="false" customHeight="false" outlineLevel="0" collapsed="false">
      <c r="A5" s="8" t="s">
        <v>52</v>
      </c>
      <c r="B5" s="8" t="str">
        <f aca="false">IFERROR(INDEX(Requirements!$D:$D,MATCH(A5,Requirements!$A:$A,0)),"")</f>
        <v>OBJ-02</v>
      </c>
      <c r="C5" s="8" t="s">
        <v>73</v>
      </c>
      <c r="D5" s="8" t="s">
        <v>85</v>
      </c>
      <c r="E5" s="8" t="s">
        <v>177</v>
      </c>
      <c r="F5" s="8" t="n">
        <f aca="false">COUNTIF(UAT!$B:$B,A5)</f>
        <v>1</v>
      </c>
    </row>
    <row r="6" customFormat="false" ht="15" hidden="false" customHeight="false" outlineLevel="0" collapsed="false">
      <c r="A6" s="8" t="s">
        <v>55</v>
      </c>
      <c r="B6" s="8" t="str">
        <f aca="false">IFERROR(INDEX(Requirements!$D:$D,MATCH(A6,Requirements!$A:$A,0)),"")</f>
        <v>OBJ-04</v>
      </c>
      <c r="C6" s="8" t="s">
        <v>76</v>
      </c>
      <c r="D6" s="8" t="s">
        <v>189</v>
      </c>
      <c r="E6" s="8" t="s">
        <v>181</v>
      </c>
      <c r="F6" s="8" t="n">
        <f aca="false">COUNTIF(UAT!$B:$B,A6)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7" t="s">
        <v>190</v>
      </c>
      <c r="B1" s="7" t="s">
        <v>191</v>
      </c>
      <c r="C1" s="7" t="s">
        <v>192</v>
      </c>
      <c r="D1" s="7" t="s">
        <v>193</v>
      </c>
    </row>
    <row r="2" customFormat="false" ht="15" hidden="false" customHeight="false" outlineLevel="0" collapsed="false">
      <c r="A2" s="8" t="s">
        <v>194</v>
      </c>
      <c r="B2" s="8" t="s">
        <v>195</v>
      </c>
      <c r="C2" s="8" t="s">
        <v>196</v>
      </c>
      <c r="D2" s="8" t="s">
        <v>197</v>
      </c>
    </row>
    <row r="3" customFormat="false" ht="15" hidden="false" customHeight="false" outlineLevel="0" collapsed="false">
      <c r="A3" s="8" t="s">
        <v>198</v>
      </c>
      <c r="B3" s="8" t="s">
        <v>195</v>
      </c>
      <c r="C3" s="8" t="s">
        <v>199</v>
      </c>
      <c r="D3" s="8" t="s">
        <v>200</v>
      </c>
    </row>
    <row r="4" customFormat="false" ht="15" hidden="false" customHeight="false" outlineLevel="0" collapsed="false">
      <c r="A4" s="8" t="s">
        <v>201</v>
      </c>
      <c r="B4" s="8" t="s">
        <v>202</v>
      </c>
      <c r="C4" s="8" t="s">
        <v>203</v>
      </c>
      <c r="D4" s="8" t="s">
        <v>204</v>
      </c>
    </row>
    <row r="5" customFormat="false" ht="15" hidden="false" customHeight="false" outlineLevel="0" collapsed="false">
      <c r="A5" s="8" t="s">
        <v>205</v>
      </c>
      <c r="B5" s="8" t="s">
        <v>202</v>
      </c>
      <c r="C5" s="8" t="s">
        <v>206</v>
      </c>
      <c r="D5" s="8" t="s">
        <v>207</v>
      </c>
    </row>
    <row r="6" customFormat="false" ht="15" hidden="false" customHeight="false" outlineLevel="0" collapsed="false">
      <c r="A6" s="8" t="s">
        <v>208</v>
      </c>
      <c r="B6" s="8" t="s">
        <v>195</v>
      </c>
      <c r="C6" s="8" t="s">
        <v>209</v>
      </c>
      <c r="D6" s="8" t="s">
        <v>210</v>
      </c>
    </row>
    <row r="7" customFormat="false" ht="15" hidden="false" customHeight="false" outlineLevel="0" collapsed="false">
      <c r="A7" s="8" t="s">
        <v>211</v>
      </c>
      <c r="B7" s="8" t="s">
        <v>212</v>
      </c>
      <c r="C7" s="8" t="s">
        <v>213</v>
      </c>
      <c r="D7" s="8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2026-09-25T01:59:52Z</dcterms:created>
  <dc:creator>openpyxl</dc:creator>
  <dc:description/>
  <dc:language>en-US</dc:language>
  <cp:lastModifiedBy/>
  <dcterms:modified xsi:type="dcterms:W3CDTF">2026-09-25T01:59:52Z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